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aydinkara/Github/Saudi_Arabia_GDP/"/>
    </mc:Choice>
  </mc:AlternateContent>
  <xr:revisionPtr revIDLastSave="0" documentId="13_ncr:1_{136130F1-0946-FC4C-9DAC-ACD69AB380C3}" xr6:coauthVersionLast="47" xr6:coauthVersionMax="47" xr10:uidLastSave="{00000000-0000-0000-0000-000000000000}"/>
  <bookViews>
    <workbookView xWindow="0" yWindow="0" windowWidth="25600" windowHeight="16000" xr2:uid="{1742F8DC-7C74-1E4A-B7A9-D2147CA5C64A}"/>
  </bookViews>
  <sheets>
    <sheet name="Master" sheetId="1" r:id="rId1"/>
    <sheet name="CPI" sheetId="2" r:id="rId2"/>
  </sheets>
  <externalReferences>
    <externalReference r:id="rId3"/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2" i="1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<sst xmlns="http://schemas.openxmlformats.org/spreadsheetml/2006/main" count="157" uniqueCount="155">
  <si>
    <t>Date</t>
  </si>
  <si>
    <t>Average of BrentPrice</t>
  </si>
  <si>
    <t>Brent Volatility</t>
  </si>
  <si>
    <t>CPI</t>
  </si>
  <si>
    <t>Month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</si>
  <si>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</si>
  <si>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</si>
  <si>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</si>
  <si>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</si>
  <si>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</si>
  <si>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</si>
  <si>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</si>
  <si>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</si>
  <si>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</si>
  <si>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</si>
  <si>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</si>
  <si>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</si>
  <si>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</si>
  <si>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</si>
  <si>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</si>
  <si>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</si>
  <si>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</si>
  <si>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</si>
  <si>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</si>
  <si>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</si>
  <si>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</si>
  <si>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</si>
  <si>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</si>
  <si>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</si>
  <si>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</si>
  <si>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</si>
  <si>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</si>
  <si>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</si>
  <si>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</si>
  <si>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</si>
  <si>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</si>
  <si>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</si>
  <si>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</si>
  <si>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</si>
  <si>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</si>
  <si>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</si>
  <si>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</si>
  <si>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</si>
  <si>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</si>
  <si>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</si>
  <si>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</si>
  <si>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</si>
  <si>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</si>
  <si>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</si>
  <si>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</si>
  <si>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</si>
  <si>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</si>
  <si>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</si>
  <si>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</si>
  <si>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</si>
  <si>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</si>
  <si>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</si>
  <si>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</si>
  <si>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</si>
  <si>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</si>
  <si>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</si>
  <si>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</si>
  <si>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</si>
  <si>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</si>
  <si>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</si>
  <si>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</si>
  <si>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</si>
  <si>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</si>
  <si>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</si>
  <si>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</si>
  <si>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</si>
  <si>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</si>
  <si>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</si>
  <si>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</si>
  <si>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</si>
  <si>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</si>
  <si>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</si>
  <si>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</si>
  <si>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</si>
  <si>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</si>
  <si>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</si>
  <si>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</si>
  <si>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</si>
  <si>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</si>
  <si>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</si>
  <si>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</si>
  <si>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</si>
  <si>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</si>
  <si>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</si>
  <si>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</si>
  <si>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</si>
  <si>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</si>
  <si>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</si>
  <si>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</si>
  <si>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</si>
  <si>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</si>
  <si>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</si>
  <si>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</si>
  <si>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</si>
  <si>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</si>
  <si>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</si>
  <si>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</si>
  <si>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</si>
  <si>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</si>
  <si>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</si>
  <si>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</si>
  <si>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</si>
  <si>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</si>
  <si>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</si>
  <si>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</si>
  <si>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</si>
  <si>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</si>
  <si>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</si>
  <si>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</si>
  <si>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</si>
  <si>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</si>
  <si>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</si>
  <si>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</si>
  <si>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</si>
  <si>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</si>
  <si>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</si>
  <si>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</si>
  <si>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</si>
  <si>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</si>
  <si>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</si>
  <si>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</si>
  <si>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</si>
  <si>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</si>
  <si>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</si>
  <si>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</si>
  <si>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</si>
  <si>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</si>
  <si>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</si>
  <si>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</si>
  <si>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</si>
  <si>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</si>
  <si>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</si>
  <si>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</si>
  <si>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</si>
  <si>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</si>
  <si>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</si>
  <si>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</si>
  <si>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</si>
  <si>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</si>
  <si>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</si>
  <si>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</si>
  <si>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</si>
  <si>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</si>
  <si>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</si>
  <si>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</si>
  <si>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</si>
  <si>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</si>
  <si>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Tadawul</t>
  </si>
  <si>
    <t>PMI</t>
  </si>
  <si>
    <t>GDP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</si>
</sst>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PI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MI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GDP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I-Inflation-Rate-by-Expendit"/>
      <sheetName val="Sheet2"/>
      <sheetName val="Sheet1"/>
    </sheetNames>
    <sheetDataSet>
      <sheetData sheetId="0"/>
      <sheetData sheetId="1">
        <row r="1">
          <cell r="B1" t="str">
            <v>Consumer Price Index</v>
          </cell>
          <cell r="C1" t="str">
            <v>Date</v>
          </cell>
        </row>
        <row r="2">
          <cell r="B2">
            <v>85.583427565206151</v>
          </cell>
          <cell r="C2">
            <v>41640</v>
          </cell>
        </row>
        <row r="3">
          <cell r="B3">
            <v>85.717801119635709</v>
          </cell>
          <cell r="C3">
            <v>41671</v>
          </cell>
        </row>
        <row r="4">
          <cell r="B4">
            <v>85.740227494860989</v>
          </cell>
          <cell r="C4">
            <v>41699</v>
          </cell>
        </row>
        <row r="5">
          <cell r="B5">
            <v>86.122053764656826</v>
          </cell>
          <cell r="C5">
            <v>41730</v>
          </cell>
        </row>
        <row r="6">
          <cell r="B6">
            <v>86.136204011462283</v>
          </cell>
          <cell r="C6">
            <v>41760</v>
          </cell>
        </row>
        <row r="7">
          <cell r="B7">
            <v>86.199525212496795</v>
          </cell>
          <cell r="C7">
            <v>41791</v>
          </cell>
        </row>
        <row r="8">
          <cell r="B8">
            <v>86.457724837102887</v>
          </cell>
          <cell r="C8">
            <v>41821</v>
          </cell>
        </row>
        <row r="9">
          <cell r="B9">
            <v>86.553065740393336</v>
          </cell>
          <cell r="C9">
            <v>41852</v>
          </cell>
        </row>
        <row r="10">
          <cell r="B10">
            <v>86.601983695189887</v>
          </cell>
          <cell r="C10">
            <v>41883</v>
          </cell>
        </row>
        <row r="11">
          <cell r="B11">
            <v>86.668478611670565</v>
          </cell>
          <cell r="C11">
            <v>41913</v>
          </cell>
        </row>
        <row r="12">
          <cell r="B12">
            <v>86.822990296600707</v>
          </cell>
          <cell r="C12">
            <v>41944</v>
          </cell>
        </row>
        <row r="13">
          <cell r="B13">
            <v>86.850328450048409</v>
          </cell>
          <cell r="C13">
            <v>41974</v>
          </cell>
        </row>
        <row r="14">
          <cell r="B14">
            <v>87.024500538181684</v>
          </cell>
          <cell r="C14">
            <v>42005</v>
          </cell>
        </row>
        <row r="15">
          <cell r="B15">
            <v>86.915167582210728</v>
          </cell>
          <cell r="C15">
            <v>42036</v>
          </cell>
        </row>
        <row r="16">
          <cell r="B16">
            <v>87.048015920943811</v>
          </cell>
          <cell r="C16">
            <v>42064</v>
          </cell>
        </row>
        <row r="17">
          <cell r="B17">
            <v>87.074091643470723</v>
          </cell>
          <cell r="C17">
            <v>42095</v>
          </cell>
        </row>
        <row r="18">
          <cell r="B18">
            <v>87.244082520137837</v>
          </cell>
          <cell r="C18">
            <v>42125</v>
          </cell>
        </row>
        <row r="19">
          <cell r="B19">
            <v>87.313401923642672</v>
          </cell>
          <cell r="C19">
            <v>42156</v>
          </cell>
        </row>
        <row r="20">
          <cell r="B20">
            <v>87.398758713984861</v>
          </cell>
          <cell r="C20">
            <v>42186</v>
          </cell>
        </row>
        <row r="21">
          <cell r="B21">
            <v>87.353128640398808</v>
          </cell>
          <cell r="C21">
            <v>42217</v>
          </cell>
        </row>
        <row r="22">
          <cell r="B22">
            <v>87.394790859141082</v>
          </cell>
          <cell r="C22">
            <v>42248</v>
          </cell>
        </row>
        <row r="23">
          <cell r="B23">
            <v>87.560938491583983</v>
          </cell>
          <cell r="C23">
            <v>42278</v>
          </cell>
        </row>
        <row r="24">
          <cell r="B24">
            <v>87.679641543943717</v>
          </cell>
          <cell r="C24">
            <v>42309</v>
          </cell>
        </row>
        <row r="25">
          <cell r="B25">
            <v>87.706557052364815</v>
          </cell>
          <cell r="C25">
            <v>42339</v>
          </cell>
        </row>
        <row r="26">
          <cell r="B26">
            <v>89.859149753427687</v>
          </cell>
          <cell r="C26">
            <v>42370</v>
          </cell>
        </row>
        <row r="27">
          <cell r="B27">
            <v>89.959437235891045</v>
          </cell>
          <cell r="C27">
            <v>42401</v>
          </cell>
        </row>
        <row r="28">
          <cell r="B28">
            <v>89.970162646458121</v>
          </cell>
          <cell r="C28">
            <v>42430</v>
          </cell>
        </row>
        <row r="29">
          <cell r="B29">
            <v>90.052795501062718</v>
          </cell>
          <cell r="C29">
            <v>42461</v>
          </cell>
        </row>
        <row r="30">
          <cell r="B30">
            <v>89.958779906255145</v>
          </cell>
          <cell r="C30">
            <v>42491</v>
          </cell>
        </row>
        <row r="31">
          <cell r="B31">
            <v>89.944786600549193</v>
          </cell>
          <cell r="C31">
            <v>42522</v>
          </cell>
        </row>
        <row r="32">
          <cell r="B32">
            <v>90.055297206588492</v>
          </cell>
          <cell r="C32">
            <v>42552</v>
          </cell>
        </row>
        <row r="33">
          <cell r="B33">
            <v>89.87738270064024</v>
          </cell>
          <cell r="C33">
            <v>42583</v>
          </cell>
        </row>
        <row r="34">
          <cell r="B34">
            <v>89.931262720555637</v>
          </cell>
          <cell r="C34">
            <v>42614</v>
          </cell>
        </row>
        <row r="35">
          <cell r="B35">
            <v>89.841283317164283</v>
          </cell>
          <cell r="C35">
            <v>42644</v>
          </cell>
        </row>
        <row r="36">
          <cell r="B36">
            <v>89.517965274165661</v>
          </cell>
          <cell r="C36">
            <v>42675</v>
          </cell>
        </row>
        <row r="37">
          <cell r="B37">
            <v>89.302124196502064</v>
          </cell>
          <cell r="C37">
            <v>42705</v>
          </cell>
        </row>
        <row r="38">
          <cell r="B38">
            <v>89.229000962442981</v>
          </cell>
          <cell r="C38">
            <v>42736</v>
          </cell>
        </row>
        <row r="39">
          <cell r="B39">
            <v>89.388938122721399</v>
          </cell>
          <cell r="C39">
            <v>42767</v>
          </cell>
        </row>
        <row r="40">
          <cell r="B40">
            <v>89.265237019951442</v>
          </cell>
          <cell r="C40">
            <v>42795</v>
          </cell>
        </row>
        <row r="41">
          <cell r="B41">
            <v>89.318882971073009</v>
          </cell>
          <cell r="C41">
            <v>42826</v>
          </cell>
        </row>
        <row r="42">
          <cell r="B42">
            <v>89.286495789471232</v>
          </cell>
          <cell r="C42">
            <v>42856</v>
          </cell>
        </row>
        <row r="43">
          <cell r="B43">
            <v>89.204296260251226</v>
          </cell>
          <cell r="C43">
            <v>42887</v>
          </cell>
        </row>
        <row r="44">
          <cell r="B44">
            <v>89.184298971869481</v>
          </cell>
          <cell r="C44">
            <v>42917</v>
          </cell>
        </row>
        <row r="45">
          <cell r="B45">
            <v>89.027332511469268</v>
          </cell>
          <cell r="C45">
            <v>42948</v>
          </cell>
        </row>
        <row r="46">
          <cell r="B46">
            <v>89.177122120525013</v>
          </cell>
          <cell r="C46">
            <v>42979</v>
          </cell>
        </row>
        <row r="47">
          <cell r="B47">
            <v>89.010676802947756</v>
          </cell>
          <cell r="C47">
            <v>43009</v>
          </cell>
        </row>
        <row r="48">
          <cell r="B48">
            <v>88.547845281756096</v>
          </cell>
          <cell r="C48">
            <v>43040</v>
          </cell>
        </row>
        <row r="49">
          <cell r="B49">
            <v>88.361615940233079</v>
          </cell>
          <cell r="C49">
            <v>43070</v>
          </cell>
        </row>
        <row r="50">
          <cell r="B50">
            <v>91.962052846675348</v>
          </cell>
          <cell r="C50">
            <v>43101</v>
          </cell>
        </row>
        <row r="51">
          <cell r="B51">
            <v>92.00048963453041</v>
          </cell>
          <cell r="C51">
            <v>43132</v>
          </cell>
        </row>
        <row r="52">
          <cell r="B52">
            <v>91.836926198487873</v>
          </cell>
          <cell r="C52">
            <v>43160</v>
          </cell>
        </row>
        <row r="53">
          <cell r="B53">
            <v>91.653294466256682</v>
          </cell>
          <cell r="C53">
            <v>43191</v>
          </cell>
        </row>
        <row r="54">
          <cell r="B54">
            <v>91.334573106927678</v>
          </cell>
          <cell r="C54">
            <v>43221</v>
          </cell>
        </row>
        <row r="55">
          <cell r="B55">
            <v>91.393200940346389</v>
          </cell>
          <cell r="C55">
            <v>43252</v>
          </cell>
        </row>
        <row r="56">
          <cell r="B56">
            <v>91.310582745814045</v>
          </cell>
          <cell r="C56">
            <v>43282</v>
          </cell>
        </row>
        <row r="57">
          <cell r="B57">
            <v>91.1743410057841</v>
          </cell>
          <cell r="C57">
            <v>43313</v>
          </cell>
        </row>
        <row r="58">
          <cell r="B58">
            <v>91.072252952899859</v>
          </cell>
          <cell r="C58">
            <v>43344</v>
          </cell>
        </row>
        <row r="59">
          <cell r="B59">
            <v>90.813501052217262</v>
          </cell>
          <cell r="C59">
            <v>43374</v>
          </cell>
        </row>
        <row r="60">
          <cell r="B60">
            <v>90.606289390682193</v>
          </cell>
          <cell r="C60">
            <v>43405</v>
          </cell>
        </row>
        <row r="61">
          <cell r="B61">
            <v>90.283967831414628</v>
          </cell>
          <cell r="C61">
            <v>43435</v>
          </cell>
        </row>
        <row r="62">
          <cell r="B62">
            <v>89.413378360998308</v>
          </cell>
          <cell r="C62">
            <v>43466</v>
          </cell>
        </row>
        <row r="63">
          <cell r="B63">
            <v>89.204247516182903</v>
          </cell>
          <cell r="C63">
            <v>43497</v>
          </cell>
        </row>
        <row r="64">
          <cell r="B64">
            <v>89.115337138840943</v>
          </cell>
          <cell r="C64">
            <v>43525</v>
          </cell>
        </row>
        <row r="65">
          <cell r="B65">
            <v>89.10486271215737</v>
          </cell>
          <cell r="C65">
            <v>43556</v>
          </cell>
        </row>
        <row r="66">
          <cell r="B66">
            <v>89.164263061890935</v>
          </cell>
          <cell r="C66">
            <v>43586</v>
          </cell>
        </row>
        <row r="67">
          <cell r="B67">
            <v>89.303908566309488</v>
          </cell>
          <cell r="C67">
            <v>43617</v>
          </cell>
        </row>
        <row r="68">
          <cell r="B68">
            <v>89.462180038277594</v>
          </cell>
          <cell r="C68">
            <v>43647</v>
          </cell>
        </row>
        <row r="69">
          <cell r="B69">
            <v>89.553902261578543</v>
          </cell>
          <cell r="C69">
            <v>43678</v>
          </cell>
        </row>
        <row r="70">
          <cell r="B70">
            <v>89.751054704792367</v>
          </cell>
          <cell r="C70">
            <v>43709</v>
          </cell>
        </row>
        <row r="71">
          <cell r="B71">
            <v>89.665228531290353</v>
          </cell>
          <cell r="C71">
            <v>43739</v>
          </cell>
        </row>
        <row r="72">
          <cell r="B72">
            <v>89.492477235101177</v>
          </cell>
          <cell r="C72">
            <v>43770</v>
          </cell>
        </row>
        <row r="73">
          <cell r="B73">
            <v>89.899934846209305</v>
          </cell>
          <cell r="C73">
            <v>43800</v>
          </cell>
        </row>
        <row r="74">
          <cell r="B74">
            <v>89.796738045432576</v>
          </cell>
          <cell r="C74">
            <v>43831</v>
          </cell>
        </row>
        <row r="75">
          <cell r="B75">
            <v>89.975933928671893</v>
          </cell>
          <cell r="C75">
            <v>43862</v>
          </cell>
        </row>
        <row r="76">
          <cell r="B76">
            <v>90.097678519024285</v>
          </cell>
          <cell r="C76">
            <v>43891</v>
          </cell>
        </row>
        <row r="77">
          <cell r="B77">
            <v>89.922977168917015</v>
          </cell>
          <cell r="C77">
            <v>43922</v>
          </cell>
        </row>
        <row r="78">
          <cell r="B78">
            <v>89.64304665546392</v>
          </cell>
          <cell r="C78">
            <v>43952</v>
          </cell>
        </row>
        <row r="79">
          <cell r="B79">
            <v>89.292997456677313</v>
          </cell>
          <cell r="C79">
            <v>43983</v>
          </cell>
        </row>
        <row r="80">
          <cell r="B80">
            <v>94.891565715539429</v>
          </cell>
          <cell r="C80">
            <v>44013</v>
          </cell>
        </row>
        <row r="81">
          <cell r="B81">
            <v>95.007683005399045</v>
          </cell>
          <cell r="C81">
            <v>44044</v>
          </cell>
        </row>
        <row r="82">
          <cell r="B82">
            <v>94.688526505421862</v>
          </cell>
          <cell r="C82">
            <v>44075</v>
          </cell>
        </row>
        <row r="83">
          <cell r="B83">
            <v>94.875234597165004</v>
          </cell>
          <cell r="C83">
            <v>44105</v>
          </cell>
        </row>
        <row r="84">
          <cell r="B84">
            <v>94.634374967927315</v>
          </cell>
          <cell r="C84">
            <v>44136</v>
          </cell>
        </row>
        <row r="85">
          <cell r="B85">
            <v>94.502225671958001</v>
          </cell>
          <cell r="C85">
            <v>44166</v>
          </cell>
        </row>
        <row r="86">
          <cell r="B86">
            <v>94.614855037696444</v>
          </cell>
          <cell r="C86">
            <v>44197</v>
          </cell>
        </row>
        <row r="87">
          <cell r="B87">
            <v>94.512263477400609</v>
          </cell>
          <cell r="C87">
            <v>44228</v>
          </cell>
        </row>
        <row r="88">
          <cell r="B88">
            <v>94.50450347246138</v>
          </cell>
          <cell r="C88">
            <v>44256</v>
          </cell>
        </row>
        <row r="89">
          <cell r="B89">
            <v>94.667963187881014</v>
          </cell>
          <cell r="C89">
            <v>44287</v>
          </cell>
        </row>
        <row r="90">
          <cell r="B90">
            <v>94.829951614424402</v>
          </cell>
          <cell r="C90">
            <v>44317</v>
          </cell>
        </row>
        <row r="91">
          <cell r="B91">
            <v>94.981106167087574</v>
          </cell>
          <cell r="C91">
            <v>44348</v>
          </cell>
        </row>
        <row r="92">
          <cell r="B92">
            <v>95.222856802259003</v>
          </cell>
          <cell r="C92">
            <v>44378</v>
          </cell>
        </row>
        <row r="93">
          <cell r="B93">
            <v>95.323933327894053</v>
          </cell>
          <cell r="C93">
            <v>44409</v>
          </cell>
        </row>
        <row r="94">
          <cell r="B94">
            <v>95.472339183590819</v>
          </cell>
          <cell r="C94">
            <v>44440</v>
          </cell>
        </row>
        <row r="95">
          <cell r="B95">
            <v>95.869403454619203</v>
          </cell>
          <cell r="C95">
            <v>44470</v>
          </cell>
        </row>
        <row r="96">
          <cell r="B96">
            <v>95.986541916958814</v>
          </cell>
          <cell r="C96">
            <v>44501</v>
          </cell>
        </row>
        <row r="97">
          <cell r="B97">
            <v>96.002186067032198</v>
          </cell>
          <cell r="C97">
            <v>44531</v>
          </cell>
        </row>
        <row r="98">
          <cell r="B98">
            <v>96.076413761477824</v>
          </cell>
          <cell r="C98">
            <v>44562</v>
          </cell>
        </row>
        <row r="99">
          <cell r="B99">
            <v>96.312195369901133</v>
          </cell>
          <cell r="C99">
            <v>44593</v>
          </cell>
        </row>
        <row r="100">
          <cell r="B100">
            <v>96.466774040704976</v>
          </cell>
          <cell r="C100">
            <v>44621</v>
          </cell>
        </row>
        <row r="101">
          <cell r="B101">
            <v>96.816084664794971</v>
          </cell>
          <cell r="C101">
            <v>44652</v>
          </cell>
        </row>
        <row r="102">
          <cell r="B102">
            <v>97.016348747959555</v>
          </cell>
          <cell r="C102">
            <v>44682</v>
          </cell>
        </row>
        <row r="103">
          <cell r="B103">
            <v>97.244219524787709</v>
          </cell>
          <cell r="C103">
            <v>44713</v>
          </cell>
        </row>
        <row r="104">
          <cell r="B104">
            <v>97.737373407324625</v>
          </cell>
          <cell r="C104">
            <v>44743</v>
          </cell>
        </row>
        <row r="105">
          <cell r="B105">
            <v>98.144782224064414</v>
          </cell>
          <cell r="C105">
            <v>44774</v>
          </cell>
        </row>
        <row r="106">
          <cell r="B106">
            <v>98.340203301363033</v>
          </cell>
          <cell r="C106">
            <v>44805</v>
          </cell>
        </row>
        <row r="107">
          <cell r="B107">
            <v>98.801487365729216</v>
          </cell>
          <cell r="C107">
            <v>44835</v>
          </cell>
        </row>
        <row r="108">
          <cell r="B108">
            <v>98.94708702033266</v>
          </cell>
          <cell r="C108">
            <v>44866</v>
          </cell>
        </row>
        <row r="109">
          <cell r="B109">
            <v>99.138970990612208</v>
          </cell>
          <cell r="C109">
            <v>44896</v>
          </cell>
        </row>
        <row r="110">
          <cell r="B110">
            <v>99.287347403142363</v>
          </cell>
          <cell r="C110">
            <v>44927</v>
          </cell>
        </row>
        <row r="111">
          <cell r="B111">
            <v>99.439084795753928</v>
          </cell>
          <cell r="C111">
            <v>44958</v>
          </cell>
        </row>
        <row r="112">
          <cell r="B112">
            <v>99.579259751755586</v>
          </cell>
          <cell r="C112">
            <v>44986</v>
          </cell>
        </row>
        <row r="113">
          <cell r="B113">
            <v>99.85418930190896</v>
          </cell>
          <cell r="C113">
            <v>45017</v>
          </cell>
        </row>
        <row r="114">
          <cell r="B114">
            <v>99.701402496550685</v>
          </cell>
          <cell r="C114">
            <v>45047</v>
          </cell>
        </row>
        <row r="115">
          <cell r="B115">
            <v>99.796292827925157</v>
          </cell>
          <cell r="C115">
            <v>45078</v>
          </cell>
        </row>
        <row r="116">
          <cell r="B116">
            <v>100.1493991511865</v>
          </cell>
          <cell r="C116">
            <v>45108</v>
          </cell>
        </row>
        <row r="117">
          <cell r="B117">
            <v>100.16365934787467</v>
          </cell>
          <cell r="C117">
            <v>45139</v>
          </cell>
        </row>
        <row r="118">
          <cell r="B118">
            <v>100.1519055746833</v>
          </cell>
          <cell r="C118">
            <v>45170</v>
          </cell>
        </row>
        <row r="119">
          <cell r="B119">
            <v>100.40649914216669</v>
          </cell>
          <cell r="C119">
            <v>45200</v>
          </cell>
        </row>
        <row r="120">
          <cell r="B120">
            <v>100.73809224810701</v>
          </cell>
          <cell r="C120">
            <v>45231</v>
          </cell>
        </row>
        <row r="121">
          <cell r="B121">
            <v>100.74530571218438</v>
          </cell>
          <cell r="C121">
            <v>45261</v>
          </cell>
        </row>
        <row r="122">
          <cell r="B122">
            <v>100.95333122705638</v>
          </cell>
          <cell r="C122">
            <v>45292</v>
          </cell>
        </row>
        <row r="123">
          <cell r="B123">
            <v>101.00780280925599</v>
          </cell>
          <cell r="C123">
            <v>45323</v>
          </cell>
        </row>
        <row r="124">
          <cell r="B124">
            <v>100.81805471982584</v>
          </cell>
          <cell r="C124">
            <v>45352</v>
          </cell>
        </row>
        <row r="125">
          <cell r="B125">
            <v>101.27026586312351</v>
          </cell>
          <cell r="C125">
            <v>45383</v>
          </cell>
        </row>
        <row r="126">
          <cell r="B126">
            <v>101.33887633300161</v>
          </cell>
          <cell r="C126">
            <v>45413</v>
          </cell>
        </row>
        <row r="127">
          <cell r="B127">
            <v>101.61948254911229</v>
          </cell>
          <cell r="C127">
            <v>45444</v>
          </cell>
        </row>
        <row r="128">
          <cell r="B128">
            <v>101.49897004561718</v>
          </cell>
          <cell r="C128">
            <v>45474</v>
          </cell>
        </row>
        <row r="129">
          <cell r="B129">
            <v>101.55059868731476</v>
          </cell>
          <cell r="C129">
            <v>45505</v>
          </cell>
        </row>
        <row r="130">
          <cell r="B130">
            <v>101.61678170571091</v>
          </cell>
          <cell r="C130">
            <v>45536</v>
          </cell>
        </row>
        <row r="131">
          <cell r="B131">
            <v>101.89811822838681</v>
          </cell>
          <cell r="C131">
            <v>45566</v>
          </cell>
        </row>
        <row r="132">
          <cell r="B132">
            <v>102.25280138818044</v>
          </cell>
          <cell r="C132">
            <v>45597</v>
          </cell>
        </row>
        <row r="133">
          <cell r="B133">
            <v>102.19930788094609</v>
          </cell>
          <cell r="C133">
            <v>45627</v>
          </cell>
        </row>
        <row r="134">
          <cell r="B134">
            <v>102.60493324198768</v>
          </cell>
          <cell r="C134">
            <v>45658</v>
          </cell>
        </row>
        <row r="135">
          <cell r="B135">
            <v>102.71732594005799</v>
          </cell>
          <cell r="C135">
            <v>45689</v>
          </cell>
        </row>
        <row r="136">
          <cell r="B136">
            <v>102.9580468610375</v>
          </cell>
          <cell r="C136">
            <v>45717</v>
          </cell>
        </row>
        <row r="137">
          <cell r="B137">
            <v>103.34829705670529</v>
          </cell>
          <cell r="C137">
            <v>45748</v>
          </cell>
        </row>
        <row r="138">
          <cell r="B138">
            <v>103.4611339244706</v>
          </cell>
          <cell r="C138">
            <v>45778</v>
          </cell>
        </row>
        <row r="139">
          <cell r="B139">
            <v>103.6288578634317</v>
          </cell>
          <cell r="C139">
            <v>45809</v>
          </cell>
        </row>
        <row r="140">
          <cell r="B140">
            <v>103.75108087608791</v>
          </cell>
          <cell r="C140">
            <v>45839</v>
          </cell>
        </row>
        <row r="141">
          <cell r="B141">
            <v>103.89493796703111</v>
          </cell>
          <cell r="C141">
            <v>45870</v>
          </cell>
        </row>
        <row r="142">
          <cell r="B142">
            <v>103.83056832913979</v>
          </cell>
          <cell r="C142">
            <v>45901</v>
          </cell>
        </row>
        <row r="143">
          <cell r="B143">
            <v>104.1227141910604</v>
          </cell>
          <cell r="C143">
            <v>45931</v>
          </cell>
        </row>
        <row r="144">
          <cell r="B144">
            <v>104.19671973460208</v>
          </cell>
          <cell r="C144">
            <v>45962</v>
          </cell>
        </row>
        <row r="145">
          <cell r="B145">
            <v>104.30413516908848</v>
          </cell>
          <cell r="C145">
            <v>45992</v>
          </cell>
        </row>
        <row r="146">
          <cell r="B146">
            <v>104.46686567464688</v>
          </cell>
          <cell r="C146">
            <v>46023</v>
          </cell>
        </row>
        <row r="147">
          <cell r="B147">
            <v>104.5039236934589</v>
          </cell>
          <cell r="C147">
            <v>46054</v>
          </cell>
        </row>
        <row r="148">
          <cell r="B148">
            <v>104.80833862276079</v>
          </cell>
          <cell r="C148">
            <v>46082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-of-Tadawul-All-Sto"/>
      <sheetName val="Sheet2"/>
    </sheetNames>
    <sheetDataSet>
      <sheetData sheetId="0"/>
      <sheetData sheetId="1">
        <row r="1">
          <cell r="B1" t="str">
            <v>Index</v>
          </cell>
          <cell r="C1" t="str">
            <v>Date</v>
          </cell>
        </row>
        <row r="2">
          <cell r="B2">
            <v>7101.86</v>
          </cell>
          <cell r="C2">
            <v>42736</v>
          </cell>
        </row>
        <row r="3">
          <cell r="B3">
            <v>6972.39</v>
          </cell>
          <cell r="C3">
            <v>42767</v>
          </cell>
        </row>
        <row r="4">
          <cell r="B4">
            <v>7001.63</v>
          </cell>
          <cell r="C4">
            <v>42795</v>
          </cell>
        </row>
        <row r="5">
          <cell r="B5">
            <v>7013.47</v>
          </cell>
          <cell r="C5">
            <v>42826</v>
          </cell>
        </row>
        <row r="6">
          <cell r="B6">
            <v>6871.24</v>
          </cell>
          <cell r="C6">
            <v>42856</v>
          </cell>
        </row>
        <row r="7">
          <cell r="B7">
            <v>7425.72</v>
          </cell>
          <cell r="C7">
            <v>42887</v>
          </cell>
        </row>
        <row r="8">
          <cell r="B8">
            <v>7094.17</v>
          </cell>
          <cell r="C8">
            <v>42917</v>
          </cell>
        </row>
        <row r="9">
          <cell r="B9">
            <v>7258.64</v>
          </cell>
          <cell r="C9">
            <v>42948</v>
          </cell>
        </row>
        <row r="10">
          <cell r="B10">
            <v>7283.01</v>
          </cell>
          <cell r="C10">
            <v>42979</v>
          </cell>
        </row>
        <row r="11">
          <cell r="B11">
            <v>6934.37</v>
          </cell>
          <cell r="C11">
            <v>43009</v>
          </cell>
        </row>
        <row r="12">
          <cell r="B12">
            <v>7003.97</v>
          </cell>
          <cell r="C12">
            <v>43040</v>
          </cell>
        </row>
        <row r="13">
          <cell r="B13">
            <v>7226.32</v>
          </cell>
          <cell r="C13">
            <v>43070</v>
          </cell>
        </row>
        <row r="14">
          <cell r="B14">
            <v>7650.12</v>
          </cell>
          <cell r="C14">
            <v>43101</v>
          </cell>
        </row>
        <row r="15">
          <cell r="B15">
            <v>7418.8</v>
          </cell>
          <cell r="C15">
            <v>43132</v>
          </cell>
        </row>
        <row r="16">
          <cell r="B16">
            <v>7870.87</v>
          </cell>
          <cell r="C16">
            <v>43160</v>
          </cell>
        </row>
        <row r="17">
          <cell r="B17">
            <v>8208.8700000000008</v>
          </cell>
          <cell r="C17">
            <v>43191</v>
          </cell>
        </row>
        <row r="18">
          <cell r="B18">
            <v>8161.08</v>
          </cell>
          <cell r="C18">
            <v>43221</v>
          </cell>
        </row>
        <row r="19">
          <cell r="B19">
            <v>8314.19</v>
          </cell>
          <cell r="C19">
            <v>43252</v>
          </cell>
        </row>
        <row r="20">
          <cell r="B20">
            <v>8294.83</v>
          </cell>
          <cell r="C20">
            <v>43282</v>
          </cell>
        </row>
        <row r="21">
          <cell r="B21">
            <v>7948.25</v>
          </cell>
          <cell r="C21">
            <v>43313</v>
          </cell>
        </row>
        <row r="22">
          <cell r="B22">
            <v>7999.54</v>
          </cell>
          <cell r="C22">
            <v>43344</v>
          </cell>
        </row>
        <row r="23">
          <cell r="B23">
            <v>7907.01</v>
          </cell>
          <cell r="C23">
            <v>43374</v>
          </cell>
        </row>
        <row r="24">
          <cell r="B24">
            <v>7702.99</v>
          </cell>
          <cell r="C24">
            <v>43405</v>
          </cell>
        </row>
        <row r="25">
          <cell r="B25">
            <v>7826.73</v>
          </cell>
          <cell r="C25">
            <v>43435</v>
          </cell>
        </row>
        <row r="26">
          <cell r="B26">
            <v>8559.9500000000007</v>
          </cell>
          <cell r="C26">
            <v>43466</v>
          </cell>
        </row>
        <row r="27">
          <cell r="B27">
            <v>8492.7000000000007</v>
          </cell>
          <cell r="C27">
            <v>43497</v>
          </cell>
        </row>
        <row r="28">
          <cell r="B28">
            <v>8819.44</v>
          </cell>
          <cell r="C28">
            <v>43525</v>
          </cell>
        </row>
        <row r="29">
          <cell r="B29">
            <v>9304.2000000000007</v>
          </cell>
          <cell r="C29">
            <v>43556</v>
          </cell>
        </row>
        <row r="30">
          <cell r="B30">
            <v>8516.48</v>
          </cell>
          <cell r="C30">
            <v>43586</v>
          </cell>
        </row>
        <row r="31">
          <cell r="B31">
            <v>8821.76</v>
          </cell>
          <cell r="C31">
            <v>43617</v>
          </cell>
        </row>
        <row r="32">
          <cell r="B32">
            <v>8732.6200000000008</v>
          </cell>
          <cell r="C32">
            <v>43647</v>
          </cell>
        </row>
        <row r="33">
          <cell r="B33">
            <v>8019.77</v>
          </cell>
          <cell r="C33">
            <v>43678</v>
          </cell>
        </row>
        <row r="34">
          <cell r="B34">
            <v>8091.76</v>
          </cell>
          <cell r="C34">
            <v>43709</v>
          </cell>
        </row>
        <row r="35">
          <cell r="B35">
            <v>7744.08</v>
          </cell>
          <cell r="C35">
            <v>43739</v>
          </cell>
        </row>
        <row r="36">
          <cell r="B36">
            <v>7859.06</v>
          </cell>
          <cell r="C36">
            <v>43770</v>
          </cell>
        </row>
        <row r="37">
          <cell r="B37">
            <v>8389.23</v>
          </cell>
          <cell r="C37">
            <v>43800</v>
          </cell>
        </row>
        <row r="38">
          <cell r="B38">
            <v>8246.59</v>
          </cell>
          <cell r="C38">
            <v>43831</v>
          </cell>
        </row>
        <row r="39">
          <cell r="B39">
            <v>7628.34</v>
          </cell>
          <cell r="C39">
            <v>43862</v>
          </cell>
        </row>
        <row r="40">
          <cell r="B40">
            <v>6505.35</v>
          </cell>
          <cell r="C40">
            <v>43891</v>
          </cell>
        </row>
        <row r="41">
          <cell r="B41">
            <v>7112.9</v>
          </cell>
          <cell r="C41">
            <v>43922</v>
          </cell>
        </row>
        <row r="42">
          <cell r="B42">
            <v>7213.03</v>
          </cell>
          <cell r="C42">
            <v>43952</v>
          </cell>
        </row>
        <row r="43">
          <cell r="B43">
            <v>7224.09</v>
          </cell>
          <cell r="C43">
            <v>43983</v>
          </cell>
        </row>
        <row r="44">
          <cell r="B44">
            <v>7459.21</v>
          </cell>
          <cell r="C44">
            <v>44013</v>
          </cell>
        </row>
        <row r="45">
          <cell r="B45">
            <v>7940.7</v>
          </cell>
          <cell r="C45">
            <v>44044</v>
          </cell>
        </row>
        <row r="46">
          <cell r="B46">
            <v>8299.08</v>
          </cell>
          <cell r="C46">
            <v>44075</v>
          </cell>
        </row>
        <row r="47">
          <cell r="B47">
            <v>7907.72</v>
          </cell>
          <cell r="C47">
            <v>44105</v>
          </cell>
        </row>
        <row r="48">
          <cell r="B48">
            <v>8747.09</v>
          </cell>
          <cell r="C48">
            <v>44136</v>
          </cell>
        </row>
        <row r="49">
          <cell r="B49">
            <v>8689.5300000000007</v>
          </cell>
          <cell r="C49">
            <v>44166</v>
          </cell>
        </row>
        <row r="50">
          <cell r="B50">
            <v>8702.5499999999993</v>
          </cell>
          <cell r="C50">
            <v>44197</v>
          </cell>
        </row>
        <row r="51">
          <cell r="B51">
            <v>9144.99</v>
          </cell>
          <cell r="C51">
            <v>44228</v>
          </cell>
        </row>
        <row r="52">
          <cell r="B52">
            <v>9907.82</v>
          </cell>
          <cell r="C52">
            <v>44256</v>
          </cell>
        </row>
        <row r="53">
          <cell r="B53">
            <v>10418.98</v>
          </cell>
          <cell r="C53">
            <v>44287</v>
          </cell>
        </row>
        <row r="54">
          <cell r="B54">
            <v>10551.23</v>
          </cell>
          <cell r="C54">
            <v>44317</v>
          </cell>
        </row>
        <row r="55">
          <cell r="B55">
            <v>10984.15</v>
          </cell>
          <cell r="C55">
            <v>44348</v>
          </cell>
        </row>
        <row r="56">
          <cell r="B56">
            <v>11012.71</v>
          </cell>
          <cell r="C56">
            <v>44378</v>
          </cell>
        </row>
        <row r="57">
          <cell r="B57">
            <v>11319.24</v>
          </cell>
          <cell r="C57">
            <v>44409</v>
          </cell>
        </row>
        <row r="58">
          <cell r="B58">
            <v>11495.76</v>
          </cell>
          <cell r="C58">
            <v>44440</v>
          </cell>
        </row>
        <row r="59">
          <cell r="B59">
            <v>11704.14</v>
          </cell>
          <cell r="C59">
            <v>44470</v>
          </cell>
        </row>
        <row r="60">
          <cell r="B60">
            <v>10761.8</v>
          </cell>
          <cell r="C60">
            <v>44501</v>
          </cell>
        </row>
        <row r="61">
          <cell r="B61">
            <v>11281.71</v>
          </cell>
          <cell r="C61">
            <v>44531</v>
          </cell>
        </row>
        <row r="62">
          <cell r="B62">
            <v>12271.84</v>
          </cell>
          <cell r="C62">
            <v>44562</v>
          </cell>
        </row>
        <row r="63">
          <cell r="B63">
            <v>12590.26</v>
          </cell>
          <cell r="C63">
            <v>44593</v>
          </cell>
        </row>
        <row r="64">
          <cell r="B64">
            <v>13090.4</v>
          </cell>
          <cell r="C64">
            <v>44621</v>
          </cell>
        </row>
        <row r="65">
          <cell r="B65">
            <v>13733.87</v>
          </cell>
          <cell r="C65">
            <v>44652</v>
          </cell>
        </row>
        <row r="66">
          <cell r="B66">
            <v>12921.74</v>
          </cell>
          <cell r="C66">
            <v>44682</v>
          </cell>
        </row>
        <row r="67">
          <cell r="B67">
            <v>11523.25</v>
          </cell>
          <cell r="C67">
            <v>44713</v>
          </cell>
        </row>
        <row r="68">
          <cell r="B68">
            <v>12199.08</v>
          </cell>
          <cell r="C68">
            <v>44743</v>
          </cell>
        </row>
        <row r="69">
          <cell r="B69">
            <v>12283.33</v>
          </cell>
          <cell r="C69">
            <v>44774</v>
          </cell>
        </row>
        <row r="70">
          <cell r="B70">
            <v>11405.32</v>
          </cell>
          <cell r="C70">
            <v>44805</v>
          </cell>
        </row>
        <row r="71">
          <cell r="B71">
            <v>11667.8</v>
          </cell>
          <cell r="C71">
            <v>44835</v>
          </cell>
        </row>
        <row r="72">
          <cell r="B72">
            <v>10896.91</v>
          </cell>
          <cell r="C72">
            <v>44866</v>
          </cell>
        </row>
        <row r="73">
          <cell r="B73">
            <v>10478.459999999999</v>
          </cell>
          <cell r="C73">
            <v>44896</v>
          </cell>
        </row>
        <row r="74">
          <cell r="B74">
            <v>10792.85</v>
          </cell>
          <cell r="C74">
            <v>44927</v>
          </cell>
        </row>
        <row r="75">
          <cell r="B75">
            <v>10102.700000000001</v>
          </cell>
          <cell r="C75">
            <v>44958</v>
          </cell>
        </row>
        <row r="76">
          <cell r="B76">
            <v>10590.1</v>
          </cell>
          <cell r="C76">
            <v>44986</v>
          </cell>
        </row>
        <row r="77">
          <cell r="B77">
            <v>11307.77</v>
          </cell>
          <cell r="C77">
            <v>45017</v>
          </cell>
        </row>
        <row r="78">
          <cell r="B78">
            <v>11014.13</v>
          </cell>
          <cell r="C78">
            <v>45047</v>
          </cell>
        </row>
        <row r="79">
          <cell r="B79">
            <v>11458.98</v>
          </cell>
          <cell r="C79">
            <v>45078</v>
          </cell>
        </row>
        <row r="80">
          <cell r="B80">
            <v>11692.23</v>
          </cell>
          <cell r="C80">
            <v>45108</v>
          </cell>
        </row>
        <row r="81">
          <cell r="B81">
            <v>11491.2</v>
          </cell>
          <cell r="C81">
            <v>45139</v>
          </cell>
        </row>
        <row r="82">
          <cell r="B82">
            <v>11055.96</v>
          </cell>
          <cell r="C82">
            <v>45170</v>
          </cell>
        </row>
        <row r="83">
          <cell r="B83">
            <v>10690.09</v>
          </cell>
          <cell r="C83">
            <v>45200</v>
          </cell>
        </row>
        <row r="84">
          <cell r="B84">
            <v>11177.48</v>
          </cell>
          <cell r="C84">
            <v>45231</v>
          </cell>
        </row>
        <row r="85">
          <cell r="B85">
            <v>11967.39</v>
          </cell>
          <cell r="C85">
            <v>45261</v>
          </cell>
        </row>
        <row r="86">
          <cell r="B86">
            <v>11796.63</v>
          </cell>
          <cell r="C86">
            <v>45292</v>
          </cell>
        </row>
        <row r="87">
          <cell r="B87">
            <v>12630.86</v>
          </cell>
          <cell r="C87">
            <v>45323</v>
          </cell>
        </row>
        <row r="88">
          <cell r="B88">
            <v>12401.56</v>
          </cell>
          <cell r="C88">
            <v>45352</v>
          </cell>
        </row>
        <row r="89">
          <cell r="B89">
            <v>12394.91</v>
          </cell>
          <cell r="C89">
            <v>45383</v>
          </cell>
        </row>
        <row r="90">
          <cell r="B90">
            <v>11503.49</v>
          </cell>
          <cell r="C90">
            <v>45413</v>
          </cell>
        </row>
        <row r="91">
          <cell r="B91">
            <v>11679.5</v>
          </cell>
          <cell r="C91">
            <v>45444</v>
          </cell>
        </row>
        <row r="92">
          <cell r="B92">
            <v>12109.52</v>
          </cell>
          <cell r="C92">
            <v>45474</v>
          </cell>
        </row>
        <row r="93">
          <cell r="B93">
            <v>12145.15</v>
          </cell>
          <cell r="C93">
            <v>45505</v>
          </cell>
        </row>
        <row r="94">
          <cell r="B94">
            <v>12226.1</v>
          </cell>
          <cell r="C94">
            <v>45536</v>
          </cell>
        </row>
        <row r="95">
          <cell r="B95">
            <v>12022.11</v>
          </cell>
          <cell r="C95">
            <v>45566</v>
          </cell>
        </row>
        <row r="96">
          <cell r="B96">
            <v>11641.31</v>
          </cell>
          <cell r="C96">
            <v>45597</v>
          </cell>
        </row>
        <row r="97">
          <cell r="B97">
            <v>12036.5</v>
          </cell>
          <cell r="C97">
            <v>45627</v>
          </cell>
        </row>
        <row r="98">
          <cell r="B98">
            <v>12415.49</v>
          </cell>
          <cell r="C98">
            <v>45658</v>
          </cell>
        </row>
        <row r="99">
          <cell r="B99">
            <v>12111.9</v>
          </cell>
          <cell r="C99">
            <v>45689</v>
          </cell>
        </row>
        <row r="100">
          <cell r="B100">
            <v>12025.05</v>
          </cell>
          <cell r="C100">
            <v>45717</v>
          </cell>
        </row>
        <row r="101">
          <cell r="B101">
            <v>11671.58</v>
          </cell>
          <cell r="C101">
            <v>45748</v>
          </cell>
        </row>
        <row r="102">
          <cell r="B102">
            <v>10990.41</v>
          </cell>
          <cell r="C102">
            <v>45778</v>
          </cell>
        </row>
        <row r="103">
          <cell r="B103">
            <v>11163.96</v>
          </cell>
          <cell r="C103">
            <v>45809</v>
          </cell>
        </row>
        <row r="104">
          <cell r="B104">
            <v>10920.27</v>
          </cell>
          <cell r="C104">
            <v>45839</v>
          </cell>
        </row>
        <row r="105">
          <cell r="B105">
            <v>10696.89</v>
          </cell>
          <cell r="C105">
            <v>45870</v>
          </cell>
        </row>
        <row r="106">
          <cell r="B106">
            <v>11502.97</v>
          </cell>
          <cell r="C106">
            <v>45901</v>
          </cell>
        </row>
        <row r="107">
          <cell r="B107">
            <v>11655.85</v>
          </cell>
          <cell r="C107">
            <v>45931</v>
          </cell>
        </row>
        <row r="108">
          <cell r="B108">
            <v>10590.88</v>
          </cell>
          <cell r="C108">
            <v>45962</v>
          </cell>
        </row>
        <row r="109">
          <cell r="B109">
            <v>10490.69</v>
          </cell>
          <cell r="C109">
            <v>45992</v>
          </cell>
        </row>
        <row r="110">
          <cell r="B110">
            <v>11382.08</v>
          </cell>
          <cell r="C110">
            <v>46023</v>
          </cell>
        </row>
        <row r="111">
          <cell r="B111">
            <v>10709.04</v>
          </cell>
          <cell r="C111">
            <v>46054</v>
          </cell>
        </row>
        <row r="112">
          <cell r="B112">
            <v>11249.54</v>
          </cell>
          <cell r="C112">
            <v>46082</v>
          </cell>
        </row>
        <row r="113">
          <cell r="B113">
            <v>11187.66</v>
          </cell>
          <cell r="C113">
            <v>46113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-Evolution-of-the-Purch"/>
    </sheetNames>
    <sheetDataSet>
      <sheetData sheetId="0">
        <row r="1">
          <cell r="B1" t="str">
            <v>PMI</v>
          </cell>
          <cell r="C1" t="str">
            <v>Date</v>
          </cell>
        </row>
        <row r="2">
          <cell r="B2">
            <v>58.529175879999997</v>
          </cell>
          <cell r="C2">
            <v>40026</v>
          </cell>
        </row>
        <row r="3">
          <cell r="B3">
            <v>58.501080299999998</v>
          </cell>
          <cell r="C3">
            <v>40057</v>
          </cell>
        </row>
        <row r="4">
          <cell r="B4">
            <v>60.202659089999997</v>
          </cell>
          <cell r="C4">
            <v>40087</v>
          </cell>
        </row>
        <row r="5">
          <cell r="B5">
            <v>59.347347589999998</v>
          </cell>
          <cell r="C5">
            <v>40118</v>
          </cell>
        </row>
        <row r="6">
          <cell r="B6">
            <v>58.076135829999998</v>
          </cell>
          <cell r="C6">
            <v>40148</v>
          </cell>
        </row>
        <row r="7">
          <cell r="B7">
            <v>57.175752979999999</v>
          </cell>
          <cell r="C7">
            <v>40179</v>
          </cell>
        </row>
        <row r="8">
          <cell r="B8">
            <v>56.428987249999999</v>
          </cell>
          <cell r="C8">
            <v>40210</v>
          </cell>
        </row>
        <row r="9">
          <cell r="B9">
            <v>59.197478680000003</v>
          </cell>
          <cell r="C9">
            <v>40238</v>
          </cell>
        </row>
        <row r="10">
          <cell r="B10">
            <v>58.637174209999998</v>
          </cell>
          <cell r="C10">
            <v>40269</v>
          </cell>
        </row>
        <row r="11">
          <cell r="B11">
            <v>60.506261780000003</v>
          </cell>
          <cell r="C11">
            <v>40299</v>
          </cell>
        </row>
        <row r="12">
          <cell r="B12">
            <v>61.364643909999998</v>
          </cell>
          <cell r="C12">
            <v>40330</v>
          </cell>
        </row>
        <row r="13">
          <cell r="B13">
            <v>60.208601729999998</v>
          </cell>
          <cell r="C13">
            <v>40360</v>
          </cell>
        </row>
        <row r="14">
          <cell r="B14">
            <v>59.078105710000003</v>
          </cell>
          <cell r="C14">
            <v>40391</v>
          </cell>
        </row>
        <row r="15">
          <cell r="B15">
            <v>58.446037789999998</v>
          </cell>
          <cell r="C15">
            <v>40422</v>
          </cell>
        </row>
        <row r="16">
          <cell r="B16">
            <v>60.187404649999998</v>
          </cell>
          <cell r="C16">
            <v>40452</v>
          </cell>
        </row>
        <row r="17">
          <cell r="B17">
            <v>62.161916150000003</v>
          </cell>
          <cell r="C17">
            <v>40483</v>
          </cell>
        </row>
        <row r="18">
          <cell r="B18">
            <v>61.31816997</v>
          </cell>
          <cell r="C18">
            <v>40513</v>
          </cell>
        </row>
        <row r="19">
          <cell r="B19">
            <v>63.789322319999997</v>
          </cell>
          <cell r="C19">
            <v>40544</v>
          </cell>
        </row>
        <row r="20">
          <cell r="B20">
            <v>63.433323469999998</v>
          </cell>
          <cell r="C20">
            <v>40575</v>
          </cell>
        </row>
        <row r="21">
          <cell r="B21">
            <v>62.837846210000002</v>
          </cell>
          <cell r="C21">
            <v>40603</v>
          </cell>
        </row>
        <row r="22">
          <cell r="B22">
            <v>62.70788263</v>
          </cell>
          <cell r="C22">
            <v>40634</v>
          </cell>
        </row>
        <row r="23">
          <cell r="B23">
            <v>62.634080240000003</v>
          </cell>
          <cell r="C23">
            <v>40664</v>
          </cell>
        </row>
        <row r="24">
          <cell r="B24">
            <v>62.829911899999999</v>
          </cell>
          <cell r="C24">
            <v>40695</v>
          </cell>
        </row>
        <row r="25">
          <cell r="B25">
            <v>61.218739050000003</v>
          </cell>
          <cell r="C25">
            <v>40725</v>
          </cell>
        </row>
        <row r="26">
          <cell r="B26">
            <v>59.033678049999999</v>
          </cell>
          <cell r="C26">
            <v>40756</v>
          </cell>
        </row>
        <row r="27">
          <cell r="B27">
            <v>56.303323939999999</v>
          </cell>
          <cell r="C27">
            <v>40787</v>
          </cell>
        </row>
        <row r="28">
          <cell r="B28">
            <v>56.728673329999999</v>
          </cell>
          <cell r="C28">
            <v>40817</v>
          </cell>
        </row>
        <row r="29">
          <cell r="B29">
            <v>58.118057049999997</v>
          </cell>
          <cell r="C29">
            <v>40848</v>
          </cell>
        </row>
        <row r="30">
          <cell r="B30">
            <v>57.657454569999999</v>
          </cell>
          <cell r="C30">
            <v>40878</v>
          </cell>
        </row>
        <row r="31">
          <cell r="B31">
            <v>60.043407309999999</v>
          </cell>
          <cell r="C31">
            <v>40909</v>
          </cell>
        </row>
        <row r="32">
          <cell r="B32">
            <v>59.620764870000002</v>
          </cell>
          <cell r="C32">
            <v>40940</v>
          </cell>
        </row>
        <row r="33">
          <cell r="B33">
            <v>58.726388450000002</v>
          </cell>
          <cell r="C33">
            <v>40969</v>
          </cell>
        </row>
        <row r="34">
          <cell r="B34">
            <v>60.422511819999997</v>
          </cell>
          <cell r="C34">
            <v>41000</v>
          </cell>
        </row>
        <row r="35">
          <cell r="B35">
            <v>60.39101952</v>
          </cell>
          <cell r="C35">
            <v>41030</v>
          </cell>
        </row>
        <row r="36">
          <cell r="B36">
            <v>59.690212350000003</v>
          </cell>
          <cell r="C36">
            <v>41061</v>
          </cell>
        </row>
        <row r="37">
          <cell r="B37">
            <v>58.087993609999998</v>
          </cell>
          <cell r="C37">
            <v>41091</v>
          </cell>
        </row>
        <row r="38">
          <cell r="B38">
            <v>58.30985063</v>
          </cell>
          <cell r="C38">
            <v>41122</v>
          </cell>
        </row>
        <row r="39">
          <cell r="B39">
            <v>60.317822909999997</v>
          </cell>
          <cell r="C39">
            <v>41153</v>
          </cell>
        </row>
        <row r="40">
          <cell r="B40">
            <v>59.809491780000002</v>
          </cell>
          <cell r="C40">
            <v>41183</v>
          </cell>
        </row>
        <row r="41">
          <cell r="B41">
            <v>57.0159685</v>
          </cell>
          <cell r="C41">
            <v>41214</v>
          </cell>
        </row>
        <row r="42">
          <cell r="B42">
            <v>58.931573059999998</v>
          </cell>
          <cell r="C42">
            <v>41244</v>
          </cell>
        </row>
        <row r="43">
          <cell r="B43">
            <v>58.0541251</v>
          </cell>
          <cell r="C43">
            <v>41275</v>
          </cell>
        </row>
        <row r="44">
          <cell r="B44">
            <v>58.541498570000002</v>
          </cell>
          <cell r="C44">
            <v>41306</v>
          </cell>
        </row>
        <row r="45">
          <cell r="B45">
            <v>58.878398670000003</v>
          </cell>
          <cell r="C45">
            <v>41334</v>
          </cell>
        </row>
        <row r="46">
          <cell r="B46">
            <v>57.95930465</v>
          </cell>
          <cell r="C46">
            <v>41365</v>
          </cell>
        </row>
        <row r="47">
          <cell r="B47">
            <v>57.314990340000001</v>
          </cell>
          <cell r="C47">
            <v>41395</v>
          </cell>
        </row>
        <row r="48">
          <cell r="B48">
            <v>56.552907580000003</v>
          </cell>
          <cell r="C48">
            <v>41426</v>
          </cell>
        </row>
        <row r="49">
          <cell r="B49">
            <v>56.622574649999997</v>
          </cell>
          <cell r="C49">
            <v>41456</v>
          </cell>
        </row>
        <row r="50">
          <cell r="B50">
            <v>57.495513940000002</v>
          </cell>
          <cell r="C50">
            <v>41487</v>
          </cell>
        </row>
        <row r="51">
          <cell r="B51">
            <v>58.697554959999998</v>
          </cell>
          <cell r="C51">
            <v>41518</v>
          </cell>
        </row>
        <row r="52">
          <cell r="B52">
            <v>56.68925754</v>
          </cell>
          <cell r="C52">
            <v>41548</v>
          </cell>
        </row>
        <row r="53">
          <cell r="B53">
            <v>57.087453699999998</v>
          </cell>
          <cell r="C53">
            <v>41579</v>
          </cell>
        </row>
        <row r="54">
          <cell r="B54">
            <v>58.732596440000002</v>
          </cell>
          <cell r="C54">
            <v>41609</v>
          </cell>
        </row>
        <row r="55">
          <cell r="B55">
            <v>59.706070850000003</v>
          </cell>
          <cell r="C55">
            <v>41640</v>
          </cell>
        </row>
        <row r="56">
          <cell r="B56">
            <v>58.639704129999998</v>
          </cell>
          <cell r="C56">
            <v>41671</v>
          </cell>
        </row>
        <row r="57">
          <cell r="B57">
            <v>57.040903579999998</v>
          </cell>
          <cell r="C57">
            <v>41699</v>
          </cell>
        </row>
        <row r="58">
          <cell r="B58">
            <v>58.519270390000003</v>
          </cell>
          <cell r="C58">
            <v>41730</v>
          </cell>
        </row>
        <row r="59">
          <cell r="B59">
            <v>57.040496259999998</v>
          </cell>
          <cell r="C59">
            <v>41760</v>
          </cell>
        </row>
        <row r="60">
          <cell r="B60">
            <v>59.162142950000003</v>
          </cell>
          <cell r="C60">
            <v>41791</v>
          </cell>
        </row>
        <row r="61">
          <cell r="B61">
            <v>60.138837719999998</v>
          </cell>
          <cell r="C61">
            <v>41821</v>
          </cell>
        </row>
        <row r="62">
          <cell r="B62">
            <v>60.68340577</v>
          </cell>
          <cell r="C62">
            <v>41852</v>
          </cell>
        </row>
        <row r="63">
          <cell r="B63">
            <v>61.791832700000001</v>
          </cell>
          <cell r="C63">
            <v>41883</v>
          </cell>
        </row>
        <row r="64">
          <cell r="B64">
            <v>59.093606770000001</v>
          </cell>
          <cell r="C64">
            <v>41913</v>
          </cell>
        </row>
        <row r="65">
          <cell r="B65">
            <v>57.595790630000003</v>
          </cell>
          <cell r="C65">
            <v>41944</v>
          </cell>
        </row>
        <row r="66">
          <cell r="B66">
            <v>57.87536557</v>
          </cell>
          <cell r="C66">
            <v>41974</v>
          </cell>
        </row>
        <row r="67">
          <cell r="B67">
            <v>57.79680699</v>
          </cell>
          <cell r="C67">
            <v>42005</v>
          </cell>
        </row>
        <row r="68">
          <cell r="B68">
            <v>58.531677080000001</v>
          </cell>
          <cell r="C68">
            <v>42036</v>
          </cell>
        </row>
        <row r="69">
          <cell r="B69">
            <v>60.117240580000001</v>
          </cell>
          <cell r="C69">
            <v>42064</v>
          </cell>
        </row>
        <row r="70">
          <cell r="B70">
            <v>58.309524860000003</v>
          </cell>
          <cell r="C70">
            <v>42095</v>
          </cell>
        </row>
        <row r="71">
          <cell r="B71">
            <v>57.005651950000001</v>
          </cell>
          <cell r="C71">
            <v>42125</v>
          </cell>
        </row>
        <row r="72">
          <cell r="B72">
            <v>56.124527090000001</v>
          </cell>
          <cell r="C72">
            <v>42156</v>
          </cell>
        </row>
        <row r="73">
          <cell r="B73">
            <v>57.729508199999998</v>
          </cell>
          <cell r="C73">
            <v>42186</v>
          </cell>
        </row>
        <row r="74">
          <cell r="B74">
            <v>58.679401990000002</v>
          </cell>
          <cell r="C74">
            <v>42217</v>
          </cell>
        </row>
        <row r="75">
          <cell r="B75">
            <v>56.496710530000001</v>
          </cell>
          <cell r="C75">
            <v>42248</v>
          </cell>
        </row>
        <row r="76">
          <cell r="B76">
            <v>55.65144445</v>
          </cell>
          <cell r="C76">
            <v>42278</v>
          </cell>
        </row>
        <row r="77">
          <cell r="B77">
            <v>56.310509449999998</v>
          </cell>
          <cell r="C77">
            <v>42309</v>
          </cell>
        </row>
        <row r="78">
          <cell r="B78">
            <v>54.385152050000002</v>
          </cell>
          <cell r="C78">
            <v>42339</v>
          </cell>
        </row>
        <row r="79">
          <cell r="B79">
            <v>53.865588420000002</v>
          </cell>
          <cell r="C79">
            <v>42370</v>
          </cell>
        </row>
        <row r="80">
          <cell r="B80">
            <v>54.403296400000002</v>
          </cell>
          <cell r="C80">
            <v>42401</v>
          </cell>
        </row>
        <row r="81">
          <cell r="B81">
            <v>54.504235010000002</v>
          </cell>
          <cell r="C81">
            <v>42430</v>
          </cell>
        </row>
        <row r="82">
          <cell r="B82">
            <v>54.220716189999997</v>
          </cell>
          <cell r="C82">
            <v>42461</v>
          </cell>
        </row>
        <row r="83">
          <cell r="B83">
            <v>54.788181219999998</v>
          </cell>
          <cell r="C83">
            <v>42491</v>
          </cell>
        </row>
        <row r="84">
          <cell r="B84">
            <v>54.427655369999997</v>
          </cell>
          <cell r="C84">
            <v>42522</v>
          </cell>
        </row>
        <row r="85">
          <cell r="B85">
            <v>55.962795440000001</v>
          </cell>
          <cell r="C85">
            <v>42552</v>
          </cell>
        </row>
        <row r="86">
          <cell r="B86">
            <v>56.568045410000003</v>
          </cell>
          <cell r="C86">
            <v>42583</v>
          </cell>
        </row>
        <row r="87">
          <cell r="B87">
            <v>55.276911380000001</v>
          </cell>
          <cell r="C87">
            <v>42614</v>
          </cell>
        </row>
        <row r="88">
          <cell r="B88">
            <v>53.214318079999998</v>
          </cell>
          <cell r="C88">
            <v>42644</v>
          </cell>
        </row>
        <row r="89">
          <cell r="B89">
            <v>55.031813290000002</v>
          </cell>
          <cell r="C89">
            <v>42675</v>
          </cell>
        </row>
        <row r="90">
          <cell r="B90">
            <v>55.46043719</v>
          </cell>
          <cell r="C90">
            <v>42705</v>
          </cell>
        </row>
        <row r="91">
          <cell r="B91">
            <v>56.7129215</v>
          </cell>
          <cell r="C91">
            <v>42736</v>
          </cell>
        </row>
        <row r="92">
          <cell r="B92">
            <v>56.960171219999999</v>
          </cell>
          <cell r="C92">
            <v>42767</v>
          </cell>
        </row>
        <row r="93">
          <cell r="B93">
            <v>56.4234407</v>
          </cell>
          <cell r="C93">
            <v>42795</v>
          </cell>
        </row>
        <row r="94">
          <cell r="B94">
            <v>56.522830540000001</v>
          </cell>
          <cell r="C94">
            <v>42826</v>
          </cell>
        </row>
        <row r="95">
          <cell r="B95">
            <v>55.337275759999997</v>
          </cell>
          <cell r="C95">
            <v>42856</v>
          </cell>
        </row>
        <row r="96">
          <cell r="B96">
            <v>54.2772717</v>
          </cell>
          <cell r="C96">
            <v>42887</v>
          </cell>
        </row>
        <row r="97">
          <cell r="B97">
            <v>55.700123570000002</v>
          </cell>
          <cell r="C97">
            <v>42917</v>
          </cell>
        </row>
        <row r="98">
          <cell r="B98">
            <v>55.804601529999999</v>
          </cell>
          <cell r="C98">
            <v>42948</v>
          </cell>
        </row>
        <row r="99">
          <cell r="B99">
            <v>55.54460031</v>
          </cell>
          <cell r="C99">
            <v>42979</v>
          </cell>
        </row>
        <row r="100">
          <cell r="B100">
            <v>55.556798139999998</v>
          </cell>
          <cell r="C100">
            <v>43009</v>
          </cell>
        </row>
        <row r="101">
          <cell r="B101">
            <v>57.457159869999998</v>
          </cell>
          <cell r="C101">
            <v>43040</v>
          </cell>
        </row>
        <row r="102">
          <cell r="B102">
            <v>57.283777059999998</v>
          </cell>
          <cell r="C102">
            <v>43070</v>
          </cell>
        </row>
        <row r="103">
          <cell r="B103">
            <v>53.02869029</v>
          </cell>
          <cell r="C103">
            <v>43101</v>
          </cell>
        </row>
        <row r="104">
          <cell r="B104">
            <v>53.195449170000003</v>
          </cell>
          <cell r="C104">
            <v>43132</v>
          </cell>
        </row>
        <row r="105">
          <cell r="B105">
            <v>52.78164348</v>
          </cell>
          <cell r="C105">
            <v>43160</v>
          </cell>
        </row>
        <row r="106">
          <cell r="B106">
            <v>51.404168089999999</v>
          </cell>
          <cell r="C106">
            <v>43191</v>
          </cell>
        </row>
        <row r="107">
          <cell r="B107">
            <v>53.193038790000003</v>
          </cell>
          <cell r="C107">
            <v>43221</v>
          </cell>
        </row>
        <row r="108">
          <cell r="B108">
            <v>55.036820820000003</v>
          </cell>
          <cell r="C108">
            <v>43252</v>
          </cell>
        </row>
        <row r="109">
          <cell r="B109">
            <v>54.873961370000004</v>
          </cell>
          <cell r="C109">
            <v>43282</v>
          </cell>
        </row>
        <row r="110">
          <cell r="B110">
            <v>55.116114750000001</v>
          </cell>
          <cell r="C110">
            <v>43313</v>
          </cell>
        </row>
        <row r="111">
          <cell r="B111">
            <v>53.388264390000003</v>
          </cell>
          <cell r="C111">
            <v>43344</v>
          </cell>
        </row>
        <row r="112">
          <cell r="B112">
            <v>53.827713760000002</v>
          </cell>
          <cell r="C112">
            <v>43374</v>
          </cell>
        </row>
        <row r="113">
          <cell r="B113">
            <v>55.155612609999999</v>
          </cell>
          <cell r="C113">
            <v>43405</v>
          </cell>
        </row>
        <row r="114">
          <cell r="B114">
            <v>54.504496619999998</v>
          </cell>
          <cell r="C114">
            <v>43435</v>
          </cell>
        </row>
        <row r="115">
          <cell r="B115">
            <v>56.248697640000003</v>
          </cell>
          <cell r="C115">
            <v>43466</v>
          </cell>
        </row>
        <row r="116">
          <cell r="B116">
            <v>56.59651118</v>
          </cell>
          <cell r="C116">
            <v>43497</v>
          </cell>
        </row>
        <row r="117">
          <cell r="B117">
            <v>56.774608299999997</v>
          </cell>
          <cell r="C117">
            <v>43525</v>
          </cell>
        </row>
        <row r="118">
          <cell r="B118">
            <v>56.839935529999998</v>
          </cell>
          <cell r="C118">
            <v>43556</v>
          </cell>
        </row>
        <row r="119">
          <cell r="B119">
            <v>57.293618629999997</v>
          </cell>
          <cell r="C119">
            <v>43586</v>
          </cell>
        </row>
        <row r="120">
          <cell r="B120">
            <v>57.365312099999997</v>
          </cell>
          <cell r="C120">
            <v>43617</v>
          </cell>
        </row>
        <row r="121">
          <cell r="B121">
            <v>56.586583249999997</v>
          </cell>
          <cell r="C121">
            <v>43647</v>
          </cell>
        </row>
        <row r="122">
          <cell r="B122">
            <v>56.9878608</v>
          </cell>
          <cell r="C122">
            <v>43678</v>
          </cell>
        </row>
        <row r="123">
          <cell r="B123">
            <v>57.301504850000001</v>
          </cell>
          <cell r="C123">
            <v>43709</v>
          </cell>
        </row>
        <row r="124">
          <cell r="B124">
            <v>57.818832139999998</v>
          </cell>
          <cell r="C124">
            <v>43739</v>
          </cell>
        </row>
        <row r="125">
          <cell r="B125">
            <v>58.260938699999997</v>
          </cell>
          <cell r="C125">
            <v>43770</v>
          </cell>
        </row>
        <row r="126">
          <cell r="B126">
            <v>56.911722359999999</v>
          </cell>
          <cell r="C126">
            <v>43800</v>
          </cell>
        </row>
        <row r="127">
          <cell r="B127">
            <v>54.89706056</v>
          </cell>
          <cell r="C127">
            <v>43831</v>
          </cell>
        </row>
        <row r="128">
          <cell r="B128">
            <v>52.498455790000001</v>
          </cell>
          <cell r="C128">
            <v>43862</v>
          </cell>
        </row>
        <row r="129">
          <cell r="B129">
            <v>42.424531160000001</v>
          </cell>
          <cell r="C129">
            <v>43891</v>
          </cell>
        </row>
        <row r="130">
          <cell r="B130">
            <v>44.402536529999999</v>
          </cell>
          <cell r="C130">
            <v>43922</v>
          </cell>
        </row>
        <row r="131">
          <cell r="B131">
            <v>48.11851514</v>
          </cell>
          <cell r="C131">
            <v>43952</v>
          </cell>
        </row>
        <row r="132">
          <cell r="B132">
            <v>47.66988817</v>
          </cell>
          <cell r="C132">
            <v>43983</v>
          </cell>
        </row>
        <row r="133">
          <cell r="B133">
            <v>50.03593506</v>
          </cell>
          <cell r="C133">
            <v>44013</v>
          </cell>
        </row>
        <row r="134">
          <cell r="B134">
            <v>48.761824820000001</v>
          </cell>
          <cell r="C134">
            <v>44044</v>
          </cell>
        </row>
        <row r="135">
          <cell r="B135">
            <v>50.723763519999999</v>
          </cell>
          <cell r="C135">
            <v>44075</v>
          </cell>
        </row>
        <row r="136">
          <cell r="B136">
            <v>51.010351980000003</v>
          </cell>
          <cell r="C136">
            <v>44105</v>
          </cell>
        </row>
        <row r="137">
          <cell r="B137">
            <v>54.656138480000003</v>
          </cell>
          <cell r="C137">
            <v>44136</v>
          </cell>
        </row>
        <row r="138">
          <cell r="B138">
            <v>56.95894672</v>
          </cell>
          <cell r="C138">
            <v>44166</v>
          </cell>
        </row>
        <row r="139">
          <cell r="B139">
            <v>57.06653412</v>
          </cell>
          <cell r="C139">
            <v>44197</v>
          </cell>
        </row>
        <row r="140">
          <cell r="B140">
            <v>53.869904890000001</v>
          </cell>
          <cell r="C140">
            <v>44228</v>
          </cell>
        </row>
        <row r="141">
          <cell r="B141">
            <v>53.343979990000001</v>
          </cell>
          <cell r="C141">
            <v>44256</v>
          </cell>
        </row>
        <row r="142">
          <cell r="B142">
            <v>55.209981139999996</v>
          </cell>
          <cell r="C142">
            <v>44287</v>
          </cell>
        </row>
        <row r="143">
          <cell r="B143">
            <v>56.394009359999998</v>
          </cell>
          <cell r="C143">
            <v>44317</v>
          </cell>
        </row>
        <row r="144">
          <cell r="B144">
            <v>56.354788560000003</v>
          </cell>
          <cell r="C144">
            <v>44348</v>
          </cell>
        </row>
        <row r="145">
          <cell r="B145">
            <v>55.81499178</v>
          </cell>
          <cell r="C145">
            <v>44378</v>
          </cell>
        </row>
        <row r="146">
          <cell r="B146">
            <v>54.143964080000003</v>
          </cell>
          <cell r="C146">
            <v>44409</v>
          </cell>
        </row>
        <row r="147">
          <cell r="B147">
            <v>58.580037859999997</v>
          </cell>
          <cell r="C147">
            <v>44440</v>
          </cell>
        </row>
        <row r="148">
          <cell r="B148">
            <v>57.693611859999997</v>
          </cell>
          <cell r="C148">
            <v>44470</v>
          </cell>
        </row>
        <row r="149">
          <cell r="B149">
            <v>56.864154919999997</v>
          </cell>
          <cell r="C149">
            <v>44501</v>
          </cell>
        </row>
        <row r="150">
          <cell r="B150">
            <v>53.870383689999997</v>
          </cell>
          <cell r="C150">
            <v>44531</v>
          </cell>
        </row>
        <row r="151">
          <cell r="B151">
            <v>53.228844449999997</v>
          </cell>
          <cell r="C151">
            <v>44562</v>
          </cell>
        </row>
        <row r="152">
          <cell r="B152">
            <v>56.190981149999999</v>
          </cell>
          <cell r="C152">
            <v>44593</v>
          </cell>
        </row>
        <row r="153">
          <cell r="B153">
            <v>56.789057049999997</v>
          </cell>
          <cell r="C153">
            <v>44621</v>
          </cell>
        </row>
        <row r="154">
          <cell r="B154">
            <v>55.656672309999998</v>
          </cell>
          <cell r="C154">
            <v>44652</v>
          </cell>
        </row>
        <row r="155">
          <cell r="B155">
            <v>55.685690030000004</v>
          </cell>
          <cell r="C155">
            <v>44682</v>
          </cell>
        </row>
        <row r="156">
          <cell r="B156">
            <v>56.958304069999997</v>
          </cell>
          <cell r="C156">
            <v>44713</v>
          </cell>
        </row>
        <row r="157">
          <cell r="B157">
            <v>56.335049429999998</v>
          </cell>
          <cell r="C157">
            <v>44743</v>
          </cell>
        </row>
        <row r="158">
          <cell r="B158">
            <v>57.676270000000002</v>
          </cell>
          <cell r="C158">
            <v>44774</v>
          </cell>
        </row>
        <row r="159">
          <cell r="B159">
            <v>56.560588940000002</v>
          </cell>
          <cell r="C159">
            <v>44805</v>
          </cell>
        </row>
        <row r="160">
          <cell r="B160">
            <v>57.171799419999999</v>
          </cell>
          <cell r="C160">
            <v>44835</v>
          </cell>
        </row>
        <row r="161">
          <cell r="B161">
            <v>58.469176150000003</v>
          </cell>
          <cell r="C161">
            <v>44866</v>
          </cell>
        </row>
        <row r="162">
          <cell r="B162">
            <v>56.927626080000003</v>
          </cell>
          <cell r="C162">
            <v>44896</v>
          </cell>
        </row>
        <row r="163">
          <cell r="B163">
            <v>58.229460430000003</v>
          </cell>
          <cell r="C163">
            <v>44927</v>
          </cell>
        </row>
        <row r="164">
          <cell r="B164">
            <v>59.824767119999997</v>
          </cell>
          <cell r="C164">
            <v>44958</v>
          </cell>
        </row>
        <row r="165">
          <cell r="B165">
            <v>58.734636860000002</v>
          </cell>
          <cell r="C165">
            <v>44986</v>
          </cell>
        </row>
        <row r="166">
          <cell r="B166">
            <v>59.583304949999999</v>
          </cell>
          <cell r="C166">
            <v>45017</v>
          </cell>
        </row>
        <row r="167">
          <cell r="B167">
            <v>58.548930779999999</v>
          </cell>
          <cell r="C167">
            <v>45047</v>
          </cell>
        </row>
        <row r="168">
          <cell r="B168">
            <v>59.553761479999999</v>
          </cell>
          <cell r="C168">
            <v>45078</v>
          </cell>
        </row>
        <row r="169">
          <cell r="B169">
            <v>57.740745160000003</v>
          </cell>
          <cell r="C169">
            <v>45108</v>
          </cell>
        </row>
        <row r="170">
          <cell r="B170">
            <v>56.556254099999997</v>
          </cell>
          <cell r="C170">
            <v>45139</v>
          </cell>
        </row>
        <row r="171">
          <cell r="B171">
            <v>57.158436279999997</v>
          </cell>
          <cell r="C171">
            <v>45170</v>
          </cell>
        </row>
        <row r="172">
          <cell r="B172">
            <v>58.419825770000003</v>
          </cell>
          <cell r="C172">
            <v>45200</v>
          </cell>
        </row>
        <row r="173">
          <cell r="B173">
            <v>57.503719179999997</v>
          </cell>
          <cell r="C173">
            <v>45231</v>
          </cell>
        </row>
        <row r="174">
          <cell r="B174">
            <v>57.455772459999999</v>
          </cell>
          <cell r="C174">
            <v>45261</v>
          </cell>
        </row>
        <row r="175">
          <cell r="B175">
            <v>55.407158940000002</v>
          </cell>
          <cell r="C175">
            <v>45292</v>
          </cell>
        </row>
        <row r="176">
          <cell r="B176">
            <v>57.157999820000001</v>
          </cell>
          <cell r="C176">
            <v>45323</v>
          </cell>
        </row>
        <row r="177">
          <cell r="B177">
            <v>57.046057189999999</v>
          </cell>
          <cell r="C177">
            <v>45352</v>
          </cell>
        </row>
        <row r="178">
          <cell r="B178">
            <v>57.003930629999999</v>
          </cell>
          <cell r="C178">
            <v>45383</v>
          </cell>
        </row>
        <row r="179">
          <cell r="B179">
            <v>56.433033940000001</v>
          </cell>
          <cell r="C179">
            <v>45413</v>
          </cell>
        </row>
        <row r="180">
          <cell r="B180">
            <v>55.005291900000003</v>
          </cell>
          <cell r="C180">
            <v>45444</v>
          </cell>
        </row>
        <row r="181">
          <cell r="B181">
            <v>54.41389358</v>
          </cell>
          <cell r="C181">
            <v>45474</v>
          </cell>
        </row>
        <row r="182">
          <cell r="B182">
            <v>54.841647809999998</v>
          </cell>
          <cell r="C182">
            <v>45505</v>
          </cell>
        </row>
        <row r="183">
          <cell r="B183">
            <v>56.34642023</v>
          </cell>
          <cell r="C183">
            <v>45536</v>
          </cell>
        </row>
        <row r="184">
          <cell r="B184">
            <v>56.908929819999997</v>
          </cell>
          <cell r="C184">
            <v>45566</v>
          </cell>
        </row>
        <row r="185">
          <cell r="B185">
            <v>58.998395840000001</v>
          </cell>
          <cell r="C185">
            <v>45597</v>
          </cell>
        </row>
        <row r="186">
          <cell r="B186">
            <v>58.443854214641249</v>
          </cell>
          <cell r="C186">
            <v>45627</v>
          </cell>
        </row>
        <row r="187">
          <cell r="B187">
            <v>60.476047128141083</v>
          </cell>
          <cell r="C187">
            <v>45658</v>
          </cell>
        </row>
        <row r="188">
          <cell r="B188">
            <v>58.417668467550861</v>
          </cell>
          <cell r="C188">
            <v>45689</v>
          </cell>
        </row>
        <row r="189">
          <cell r="B189">
            <v>58.084093196499197</v>
          </cell>
          <cell r="C189">
            <v>45717</v>
          </cell>
        </row>
        <row r="190">
          <cell r="B190">
            <v>55.614283442460085</v>
          </cell>
          <cell r="C190">
            <v>45748</v>
          </cell>
        </row>
        <row r="191">
          <cell r="B191">
            <v>55.788429700752765</v>
          </cell>
          <cell r="C191">
            <v>45778</v>
          </cell>
        </row>
        <row r="192">
          <cell r="B192">
            <v>57.158906717461207</v>
          </cell>
          <cell r="C192">
            <v>45809</v>
          </cell>
        </row>
        <row r="193">
          <cell r="B193">
            <v>56.321647472176693</v>
          </cell>
          <cell r="C193">
            <v>45839</v>
          </cell>
        </row>
        <row r="194">
          <cell r="B194">
            <v>56.425495038961813</v>
          </cell>
          <cell r="C194">
            <v>45870</v>
          </cell>
        </row>
        <row r="195">
          <cell r="B195">
            <v>57.776790342579197</v>
          </cell>
          <cell r="C195">
            <v>45901</v>
          </cell>
        </row>
        <row r="196">
          <cell r="B196">
            <v>60.151615136424894</v>
          </cell>
          <cell r="C196">
            <v>45931</v>
          </cell>
        </row>
        <row r="197">
          <cell r="B197">
            <v>58.516073561076155</v>
          </cell>
          <cell r="C197">
            <v>45962</v>
          </cell>
        </row>
        <row r="198">
          <cell r="B198">
            <v>57.431283276854224</v>
          </cell>
          <cell r="C198">
            <v>45992</v>
          </cell>
        </row>
        <row r="199">
          <cell r="B199">
            <v>56.339596029425749</v>
          </cell>
          <cell r="C199">
            <v>46023</v>
          </cell>
        </row>
        <row r="200">
          <cell r="B200">
            <v>56.064385636413249</v>
          </cell>
          <cell r="C200">
            <v>46054</v>
          </cell>
        </row>
        <row r="201">
          <cell r="B201">
            <v>48.81940873978629</v>
          </cell>
          <cell r="C201">
            <v>46082</v>
          </cell>
        </row>
        <row r="202">
          <cell r="B202">
            <v>51.452408736189355</v>
          </cell>
          <cell r="C202">
            <v>46113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DPRSAXDCSAQ_PCH"/>
    </sheetNames>
    <sheetDataSet>
      <sheetData sheetId="0">
        <row r="1">
          <cell r="A1" t="str">
            <v>Date</v>
          </cell>
        </row>
        <row r="2">
          <cell r="A2">
            <v>40269</v>
          </cell>
        </row>
        <row r="3">
          <cell r="A3">
            <v>40360</v>
          </cell>
        </row>
        <row r="4">
          <cell r="A4">
            <v>40452</v>
          </cell>
        </row>
        <row r="5">
          <cell r="A5">
            <v>40544</v>
          </cell>
        </row>
        <row r="6">
          <cell r="A6">
            <v>40634</v>
          </cell>
        </row>
        <row r="7">
          <cell r="A7">
            <v>40725</v>
          </cell>
        </row>
        <row r="8">
          <cell r="A8">
            <v>40817</v>
          </cell>
        </row>
        <row r="9">
          <cell r="A9">
            <v>40909</v>
          </cell>
        </row>
        <row r="10">
          <cell r="A10">
            <v>41000</v>
          </cell>
        </row>
        <row r="11">
          <cell r="A11">
            <v>41091</v>
          </cell>
        </row>
        <row r="12">
          <cell r="A12">
            <v>41183</v>
          </cell>
        </row>
        <row r="13">
          <cell r="A13">
            <v>41275</v>
          </cell>
        </row>
        <row r="14">
          <cell r="A14">
            <v>41365</v>
          </cell>
        </row>
        <row r="15">
          <cell r="A15">
            <v>41456</v>
          </cell>
        </row>
        <row r="16">
          <cell r="A16">
            <v>41548</v>
          </cell>
        </row>
        <row r="17">
          <cell r="A17">
            <v>41640</v>
          </cell>
        </row>
        <row r="18">
          <cell r="A18">
            <v>41730</v>
          </cell>
        </row>
        <row r="19">
          <cell r="A19">
            <v>41821</v>
          </cell>
        </row>
        <row r="20">
          <cell r="A20">
            <v>41913</v>
          </cell>
        </row>
        <row r="21">
          <cell r="A21">
            <v>42005</v>
          </cell>
        </row>
        <row r="22">
          <cell r="A22">
            <v>42095</v>
          </cell>
        </row>
        <row r="23">
          <cell r="A23">
            <v>42186</v>
          </cell>
        </row>
        <row r="24">
          <cell r="A24">
            <v>42278</v>
          </cell>
        </row>
        <row r="25">
          <cell r="A25">
            <v>42370</v>
          </cell>
        </row>
        <row r="26">
          <cell r="A26">
            <v>42461</v>
          </cell>
        </row>
        <row r="27">
          <cell r="A27">
            <v>42552</v>
          </cell>
        </row>
        <row r="28">
          <cell r="A28">
            <v>42644</v>
          </cell>
        </row>
        <row r="29">
          <cell r="A29">
            <v>42736</v>
          </cell>
        </row>
        <row r="30">
          <cell r="A30">
            <v>42826</v>
          </cell>
        </row>
        <row r="31">
          <cell r="A31">
            <v>42917</v>
          </cell>
        </row>
        <row r="32">
          <cell r="A32">
            <v>43009</v>
          </cell>
        </row>
        <row r="33">
          <cell r="A33">
            <v>43101</v>
          </cell>
        </row>
        <row r="34">
          <cell r="A34">
            <v>43191</v>
          </cell>
        </row>
        <row r="35">
          <cell r="A35">
            <v>43282</v>
          </cell>
        </row>
        <row r="36">
          <cell r="A36">
            <v>43374</v>
          </cell>
        </row>
        <row r="37">
          <cell r="A37">
            <v>43466</v>
          </cell>
        </row>
        <row r="38">
          <cell r="A38">
            <v>43556</v>
          </cell>
        </row>
        <row r="39">
          <cell r="A39">
            <v>43647</v>
          </cell>
        </row>
        <row r="40">
          <cell r="A40">
            <v>43739</v>
          </cell>
        </row>
        <row r="41">
          <cell r="A41">
            <v>43831</v>
          </cell>
        </row>
        <row r="42">
          <cell r="A42">
            <v>43922</v>
          </cell>
        </row>
        <row r="43">
          <cell r="A43">
            <v>44013</v>
          </cell>
        </row>
        <row r="44">
          <cell r="A44">
            <v>44105</v>
          </cell>
        </row>
        <row r="45">
          <cell r="A45">
            <v>44197</v>
          </cell>
        </row>
        <row r="46">
          <cell r="A46">
            <v>44287</v>
          </cell>
        </row>
        <row r="47">
          <cell r="A47">
            <v>44378</v>
          </cell>
        </row>
        <row r="48">
          <cell r="A48">
            <v>44470</v>
          </cell>
        </row>
        <row r="49">
          <cell r="A49">
            <v>44562</v>
          </cell>
        </row>
        <row r="50">
          <cell r="A50">
            <v>44652</v>
          </cell>
        </row>
        <row r="51">
          <cell r="A51">
            <v>44743</v>
          </cell>
        </row>
        <row r="52">
          <cell r="A52">
            <v>44835</v>
          </cell>
        </row>
        <row r="53">
          <cell r="A53">
            <v>44927</v>
          </cell>
        </row>
        <row r="54">
          <cell r="A54">
            <v>45017</v>
          </cell>
        </row>
        <row r="55">
          <cell r="A55">
            <v>45108</v>
          </cell>
        </row>
        <row r="56">
          <cell r="A56">
            <v>45200</v>
          </cell>
        </row>
        <row r="57">
          <cell r="A57">
            <v>45292</v>
          </cell>
        </row>
        <row r="58">
          <cell r="A58">
            <v>45383</v>
          </cell>
        </row>
        <row r="59">
          <cell r="A59">
            <v>45474</v>
          </cell>
        </row>
        <row r="60">
          <cell r="A60">
            <v>45566</v>
          </cell>
        </row>
        <row r="61">
          <cell r="A61">
            <v>45658</v>
          </cell>
        </row>
        <row r="62">
          <cell r="A62">
            <v>45748</v>
          </cell>
        </row>
        <row r="63">
          <cell r="A63">
            <v>45839</v>
          </cell>
        </row>
        <row r="64">
          <cell r="A64">
            <v>45931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DPRSAXDCSAQ_PCH"/>
    </sheetNames>
    <sheetDataSet>
      <sheetData sheetId="0">
        <row r="1">
          <cell r="B1" t="str">
            <v>GDP</v>
          </cell>
        </row>
        <row r="2">
          <cell r="B2">
            <v>1.98902</v>
          </cell>
        </row>
        <row r="3">
          <cell r="B3">
            <v>-0.16578999999999999</v>
          </cell>
        </row>
        <row r="4">
          <cell r="B4">
            <v>9.2239299999999993</v>
          </cell>
        </row>
        <row r="5">
          <cell r="B5">
            <v>0.53915000000000002</v>
          </cell>
        </row>
        <row r="6">
          <cell r="B6">
            <v>3.0735700000000001</v>
          </cell>
        </row>
        <row r="7">
          <cell r="B7">
            <v>1.57186</v>
          </cell>
        </row>
        <row r="8">
          <cell r="B8">
            <v>2.2589999999999999</v>
          </cell>
        </row>
        <row r="9">
          <cell r="B9">
            <v>2.56386</v>
          </cell>
        </row>
        <row r="10">
          <cell r="B10">
            <v>0.41023999999999999</v>
          </cell>
        </row>
        <row r="11">
          <cell r="B11">
            <v>-0.26884999999999998</v>
          </cell>
        </row>
        <row r="12">
          <cell r="B12">
            <v>-1.1337699999999999</v>
          </cell>
        </row>
        <row r="13">
          <cell r="B13">
            <v>1.0890599999999999</v>
          </cell>
        </row>
        <row r="14">
          <cell r="B14">
            <v>2.1662400000000002</v>
          </cell>
        </row>
        <row r="15">
          <cell r="B15">
            <v>2.20831</v>
          </cell>
        </row>
        <row r="16">
          <cell r="B16">
            <v>-2.64E-2</v>
          </cell>
        </row>
        <row r="17">
          <cell r="B17">
            <v>2.2337400000000001</v>
          </cell>
        </row>
        <row r="18">
          <cell r="B18">
            <v>-0.24793000000000001</v>
          </cell>
        </row>
        <row r="19">
          <cell r="B19">
            <v>0.57396999999999998</v>
          </cell>
        </row>
        <row r="20">
          <cell r="B20">
            <v>0.17637</v>
          </cell>
        </row>
        <row r="21">
          <cell r="B21">
            <v>2.9489000000000001</v>
          </cell>
        </row>
        <row r="22">
          <cell r="B22">
            <v>1.7309399999999999</v>
          </cell>
        </row>
        <row r="23">
          <cell r="B23">
            <v>-3.3340000000000002E-2</v>
          </cell>
        </row>
        <row r="24">
          <cell r="B24">
            <v>5.91E-2</v>
          </cell>
        </row>
        <row r="25">
          <cell r="B25">
            <v>1.2274799999999999</v>
          </cell>
        </row>
        <row r="26">
          <cell r="B26">
            <v>-0.13567000000000001</v>
          </cell>
        </row>
        <row r="27">
          <cell r="B27">
            <v>-0.11244999999999999</v>
          </cell>
        </row>
        <row r="28">
          <cell r="B28">
            <v>0.69628999999999996</v>
          </cell>
        </row>
        <row r="29">
          <cell r="B29">
            <v>-0.46468999999999999</v>
          </cell>
        </row>
        <row r="30">
          <cell r="B30">
            <v>0.53164999999999996</v>
          </cell>
        </row>
        <row r="31">
          <cell r="B31">
            <v>1.1144400000000001</v>
          </cell>
        </row>
        <row r="32">
          <cell r="B32">
            <v>1.02111</v>
          </cell>
        </row>
        <row r="33">
          <cell r="B33">
            <v>0.22470000000000001</v>
          </cell>
        </row>
        <row r="34">
          <cell r="B34">
            <v>1.27233</v>
          </cell>
        </row>
        <row r="35">
          <cell r="B35">
            <v>0.41127000000000002</v>
          </cell>
        </row>
        <row r="36">
          <cell r="B36">
            <v>1.4046400000000001</v>
          </cell>
        </row>
        <row r="37">
          <cell r="B37">
            <v>0.16122</v>
          </cell>
        </row>
        <row r="38">
          <cell r="B38">
            <v>-0.11827</v>
          </cell>
        </row>
        <row r="39">
          <cell r="B39">
            <v>-0.55791999999999997</v>
          </cell>
        </row>
        <row r="40">
          <cell r="B40">
            <v>1.13937</v>
          </cell>
        </row>
        <row r="41">
          <cell r="B41">
            <v>-2.24011</v>
          </cell>
        </row>
        <row r="42">
          <cell r="B42">
            <v>-5.0702600000000002</v>
          </cell>
        </row>
        <row r="43">
          <cell r="B43">
            <v>2.5333299999999999</v>
          </cell>
        </row>
        <row r="44">
          <cell r="B44">
            <v>1.93252</v>
          </cell>
        </row>
        <row r="45">
          <cell r="B45">
            <v>1.6000799999999999</v>
          </cell>
        </row>
        <row r="46">
          <cell r="B46">
            <v>0.96416000000000002</v>
          </cell>
        </row>
        <row r="47">
          <cell r="B47">
            <v>4.04758</v>
          </cell>
        </row>
        <row r="48">
          <cell r="B48">
            <v>2.4889700000000001</v>
          </cell>
        </row>
        <row r="49">
          <cell r="B49">
            <v>4.18764</v>
          </cell>
        </row>
        <row r="50">
          <cell r="B50">
            <v>2.6316299999999999</v>
          </cell>
        </row>
        <row r="51">
          <cell r="B51">
            <v>2.3325999999999998</v>
          </cell>
        </row>
        <row r="52">
          <cell r="B52">
            <v>0.34057999999999999</v>
          </cell>
        </row>
        <row r="53">
          <cell r="B53">
            <v>3.7249999999999998E-2</v>
          </cell>
        </row>
        <row r="54">
          <cell r="B54">
            <v>-0.37679000000000001</v>
          </cell>
        </row>
        <row r="55">
          <cell r="B55">
            <v>-2.6168100000000001</v>
          </cell>
        </row>
        <row r="56">
          <cell r="B56">
            <v>0.27349000000000001</v>
          </cell>
        </row>
        <row r="57">
          <cell r="B57">
            <v>2.3908299999999998</v>
          </cell>
        </row>
        <row r="58">
          <cell r="B58">
            <v>1.1132</v>
          </cell>
        </row>
        <row r="59">
          <cell r="B59">
            <v>0.77929999999999999</v>
          </cell>
        </row>
        <row r="60">
          <cell r="B60">
            <v>1.01447</v>
          </cell>
        </row>
        <row r="61">
          <cell r="B61">
            <v>0.59584000000000004</v>
          </cell>
        </row>
        <row r="62">
          <cell r="B62">
            <v>1.9012100000000001</v>
          </cell>
        </row>
        <row r="63">
          <cell r="B63">
            <v>1.2399500000000001</v>
          </cell>
        </row>
        <row r="64">
          <cell r="B64">
            <v>1.41482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E936-FBFF-804E-B07A-DF5AEA9B0877}">
  <dimension ref="A1:G470"/>
  <sheetViews>
    <sheetView tabSelected="1" workbookViewId="0">
      <selection activeCell="G1" sqref="G1"/>
    </sheetView>
  </sheetViews>
  <sheetFormatPr baseColWidth="10" defaultRowHeight="16" x14ac:dyDescent="0.2"/>
  <cols>
    <col min="1" max="1" width="10.83203125" style="2"/>
    <col min="2" max="2" width="19.6640625" style="2" customWidth="1"/>
    <col min="3" max="3" width="20" customWidth="1"/>
  </cols>
  <sheetData>
    <row r="1" spans="1:7" x14ac:dyDescent="0.2">
      <c r="A1" s="2" t="s">
        <v>0</v>
      </c>
      <c r="B1" s="2" t="s">
        <v>1</v>
      </c>
      <c r="C1" t="s">
        <v>2</v>
      </c>
      <c r="D1" t="s">
        <v>3</v>
      </c>
      <c r="E1" t="s">
        <v>152</v>
      </c>
      <c r="F1" t="s">
        <v>153</v>
      </c>
      <c r="G1" t="s">
        <v>154</v>
      </c>
    </row>
    <row r="2" spans="1:7" x14ac:dyDescent="0.2">
      <c r="A2" s="3">
        <v>31898</v>
      </c>
      <c r="B2" s="2">
        <v>18.579999999999998</v>
      </c>
      <c r="C2">
        <v>4.6456453285471004E-3</v>
      </c>
      <c r="D2" t="str">
        <f>_xlfn.XLOOKUP(A2,[1]Sheet2!$C:$C,[1]Sheet2!$B:$B,"")</f>
        <v/>
      </c>
      <c r="E2" t="str">
        <f>_xlfn.XLOOKUP(A2,[2]Sheet2!$C:$C,[2]Sheet2!$B:$B,"")</f>
        <v/>
      </c>
      <c r="F2" t="str">
        <f>_xlfn.XLOOKUP(A2,'[3]Monthly-Evolution-of-the-Purch'!$C:$C,'[3]Monthly-Evolution-of-the-Purch'!$B:$B,"")</f>
        <v/>
      </c>
      <c r="G2" t="str">
        <f>_xlfn.XLOOKUP(A2,[4]NGDPRSAXDCSAQ_PCH!$A:$A,[5]NGDPRSAXDCSAQ_PCH!$B:$B,"")</f>
        <v/>
      </c>
    </row>
    <row r="3" spans="1:7" x14ac:dyDescent="0.2">
      <c r="A3" s="3">
        <v>31929</v>
      </c>
      <c r="B3" s="2">
        <v>18.860476190476188</v>
      </c>
      <c r="C3" t="e">
        <v>#NUM!</v>
      </c>
      <c r="D3" t="str">
        <f>_xlfn.XLOOKUP(A3,[1]Sheet2!$C:$C,[1]Sheet2!$B:$B,"")</f>
        <v/>
      </c>
      <c r="E3" t="str">
        <f>_xlfn.XLOOKUP(A3,[2]Sheet2!$C:$C,[2]Sheet2!$B:$B,"")</f>
        <v/>
      </c>
      <c r="F3" t="str">
        <f>_xlfn.XLOOKUP(A3,'[3]Monthly-Evolution-of-the-Purch'!$C:$C,'[3]Monthly-Evolution-of-the-Purch'!$B:$B,"")</f>
        <v/>
      </c>
      <c r="G3" t="str">
        <f>_xlfn.XLOOKUP(A3,[4]NGDPRSAXDCSAQ_PCH!$A:$A,[5]NGDPRSAXDCSAQ_PCH!$B:$B,"")</f>
        <v/>
      </c>
    </row>
    <row r="4" spans="1:7" x14ac:dyDescent="0.2">
      <c r="A4" s="3">
        <v>31959</v>
      </c>
      <c r="B4" s="2">
        <v>19.856521739130436</v>
      </c>
      <c r="C4">
        <v>1.4599269984499426E-2</v>
      </c>
      <c r="D4" t="str">
        <f>_xlfn.XLOOKUP(A4,[1]Sheet2!$C:$C,[1]Sheet2!$B:$B,"")</f>
        <v/>
      </c>
      <c r="E4" t="str">
        <f>_xlfn.XLOOKUP(A4,[2]Sheet2!$C:$C,[2]Sheet2!$B:$B,"")</f>
        <v/>
      </c>
      <c r="F4" t="str">
        <f>_xlfn.XLOOKUP(A4,'[3]Monthly-Evolution-of-the-Purch'!$C:$C,'[3]Monthly-Evolution-of-the-Purch'!$B:$B,"")</f>
        <v/>
      </c>
      <c r="G4" t="str">
        <f>_xlfn.XLOOKUP(A4,[4]NGDPRSAXDCSAQ_PCH!$A:$A,[5]NGDPRSAXDCSAQ_PCH!$B:$B,"")</f>
        <v/>
      </c>
    </row>
    <row r="5" spans="1:7" x14ac:dyDescent="0.2">
      <c r="A5" s="3">
        <v>31990</v>
      </c>
      <c r="B5" s="2">
        <v>18.979523809523808</v>
      </c>
      <c r="C5">
        <v>1.6273070332873132E-2</v>
      </c>
      <c r="D5" t="str">
        <f>_xlfn.XLOOKUP(A5,[1]Sheet2!$C:$C,[1]Sheet2!$B:$B,"")</f>
        <v/>
      </c>
      <c r="E5" t="str">
        <f>_xlfn.XLOOKUP(A5,[2]Sheet2!$C:$C,[2]Sheet2!$B:$B,"")</f>
        <v/>
      </c>
      <c r="F5" t="str">
        <f>_xlfn.XLOOKUP(A5,'[3]Monthly-Evolution-of-the-Purch'!$C:$C,'[3]Monthly-Evolution-of-the-Purch'!$B:$B,"")</f>
        <v/>
      </c>
      <c r="G5" t="str">
        <f>_xlfn.XLOOKUP(A5,[4]NGDPRSAXDCSAQ_PCH!$A:$A,[5]NGDPRSAXDCSAQ_PCH!$B:$B,"")</f>
        <v/>
      </c>
    </row>
    <row r="6" spans="1:7" x14ac:dyDescent="0.2">
      <c r="A6" s="3">
        <v>32021</v>
      </c>
      <c r="B6" s="2">
        <v>18.313181818181825</v>
      </c>
      <c r="C6">
        <v>1.1083768627920614E-2</v>
      </c>
      <c r="D6" t="str">
        <f>_xlfn.XLOOKUP(A6,[1]Sheet2!$C:$C,[1]Sheet2!$B:$B,"")</f>
        <v/>
      </c>
      <c r="E6" t="str">
        <f>_xlfn.XLOOKUP(A6,[2]Sheet2!$C:$C,[2]Sheet2!$B:$B,"")</f>
        <v/>
      </c>
      <c r="F6" t="str">
        <f>_xlfn.XLOOKUP(A6,'[3]Monthly-Evolution-of-the-Purch'!$C:$C,'[3]Monthly-Evolution-of-the-Purch'!$B:$B,"")</f>
        <v/>
      </c>
      <c r="G6" t="str">
        <f>_xlfn.XLOOKUP(A6,[4]NGDPRSAXDCSAQ_PCH!$A:$A,[5]NGDPRSAXDCSAQ_PCH!$B:$B,"")</f>
        <v/>
      </c>
    </row>
    <row r="7" spans="1:7" x14ac:dyDescent="0.2">
      <c r="A7" s="3">
        <v>32051</v>
      </c>
      <c r="B7" s="2">
        <v>18.75772727272728</v>
      </c>
      <c r="C7">
        <v>8.1326028632946815E-3</v>
      </c>
      <c r="D7" t="str">
        <f>_xlfn.XLOOKUP(A7,[1]Sheet2!$C:$C,[1]Sheet2!$B:$B,"")</f>
        <v/>
      </c>
      <c r="E7" t="str">
        <f>_xlfn.XLOOKUP(A7,[2]Sheet2!$C:$C,[2]Sheet2!$B:$B,"")</f>
        <v/>
      </c>
      <c r="F7" t="str">
        <f>_xlfn.XLOOKUP(A7,'[3]Monthly-Evolution-of-the-Purch'!$C:$C,'[3]Monthly-Evolution-of-the-Purch'!$B:$B,"")</f>
        <v/>
      </c>
      <c r="G7" t="str">
        <f>_xlfn.XLOOKUP(A7,[4]NGDPRSAXDCSAQ_PCH!$A:$A,[5]NGDPRSAXDCSAQ_PCH!$B:$B,"")</f>
        <v/>
      </c>
    </row>
    <row r="8" spans="1:7" x14ac:dyDescent="0.2">
      <c r="A8" s="3">
        <v>32082</v>
      </c>
      <c r="B8" s="2">
        <v>17.780952380952382</v>
      </c>
      <c r="C8">
        <v>1.1841089816565512E-2</v>
      </c>
      <c r="D8" t="str">
        <f>_xlfn.XLOOKUP(A8,[1]Sheet2!$C:$C,[1]Sheet2!$B:$B,"")</f>
        <v/>
      </c>
      <c r="E8" t="str">
        <f>_xlfn.XLOOKUP(A8,[2]Sheet2!$C:$C,[2]Sheet2!$B:$B,"")</f>
        <v/>
      </c>
      <c r="F8" t="str">
        <f>_xlfn.XLOOKUP(A8,'[3]Monthly-Evolution-of-the-Purch'!$C:$C,'[3]Monthly-Evolution-of-the-Purch'!$B:$B,"")</f>
        <v/>
      </c>
      <c r="G8" t="str">
        <f>_xlfn.XLOOKUP(A8,[4]NGDPRSAXDCSAQ_PCH!$A:$A,[5]NGDPRSAXDCSAQ_PCH!$B:$B,"")</f>
        <v/>
      </c>
    </row>
    <row r="9" spans="1:7" x14ac:dyDescent="0.2">
      <c r="A9" s="3">
        <v>32112</v>
      </c>
      <c r="B9" s="2">
        <v>17.054090909090913</v>
      </c>
      <c r="C9" t="e">
        <v>#NUM!</v>
      </c>
      <c r="D9" t="str">
        <f>_xlfn.XLOOKUP(A9,[1]Sheet2!$C:$C,[1]Sheet2!$B:$B,"")</f>
        <v/>
      </c>
      <c r="E9" t="str">
        <f>_xlfn.XLOOKUP(A9,[2]Sheet2!$C:$C,[2]Sheet2!$B:$B,"")</f>
        <v/>
      </c>
      <c r="F9" t="str">
        <f>_xlfn.XLOOKUP(A9,'[3]Monthly-Evolution-of-the-Purch'!$C:$C,'[3]Monthly-Evolution-of-the-Purch'!$B:$B,"")</f>
        <v/>
      </c>
      <c r="G9" t="str">
        <f>_xlfn.XLOOKUP(A9,[4]NGDPRSAXDCSAQ_PCH!$A:$A,[5]NGDPRSAXDCSAQ_PCH!$B:$B,"")</f>
        <v/>
      </c>
    </row>
    <row r="10" spans="1:7" x14ac:dyDescent="0.2">
      <c r="A10" s="3">
        <v>32143</v>
      </c>
      <c r="B10" s="2">
        <v>16.749444444444446</v>
      </c>
      <c r="C10" t="e">
        <v>#DIV/0!</v>
      </c>
      <c r="D10" t="str">
        <f>_xlfn.XLOOKUP(A10,[1]Sheet2!$C:$C,[1]Sheet2!$B:$B,"")</f>
        <v/>
      </c>
      <c r="E10" t="str">
        <f>_xlfn.XLOOKUP(A10,[2]Sheet2!$C:$C,[2]Sheet2!$B:$B,"")</f>
        <v/>
      </c>
      <c r="F10" t="str">
        <f>_xlfn.XLOOKUP(A10,'[3]Monthly-Evolution-of-the-Purch'!$C:$C,'[3]Monthly-Evolution-of-the-Purch'!$B:$B,"")</f>
        <v/>
      </c>
      <c r="G10" t="str">
        <f>_xlfn.XLOOKUP(A10,[4]NGDPRSAXDCSAQ_PCH!$A:$A,[5]NGDPRSAXDCSAQ_PCH!$B:$B,"")</f>
        <v/>
      </c>
    </row>
    <row r="11" spans="1:7" x14ac:dyDescent="0.2">
      <c r="A11" s="3">
        <v>32174</v>
      </c>
      <c r="B11" s="2">
        <v>15.729523809523812</v>
      </c>
      <c r="C11">
        <v>1.5427860254691598E-2</v>
      </c>
      <c r="D11" t="str">
        <f>_xlfn.XLOOKUP(A11,[1]Sheet2!$C:$C,[1]Sheet2!$B:$B,"")</f>
        <v/>
      </c>
      <c r="E11" t="str">
        <f>_xlfn.XLOOKUP(A11,[2]Sheet2!$C:$C,[2]Sheet2!$B:$B,"")</f>
        <v/>
      </c>
      <c r="F11" t="str">
        <f>_xlfn.XLOOKUP(A11,'[3]Monthly-Evolution-of-the-Purch'!$C:$C,'[3]Monthly-Evolution-of-the-Purch'!$B:$B,"")</f>
        <v/>
      </c>
      <c r="G11" t="str">
        <f>_xlfn.XLOOKUP(A11,[4]NGDPRSAXDCSAQ_PCH!$A:$A,[5]NGDPRSAXDCSAQ_PCH!$B:$B,"")</f>
        <v/>
      </c>
    </row>
    <row r="12" spans="1:7" x14ac:dyDescent="0.2">
      <c r="A12" s="3">
        <v>32203</v>
      </c>
      <c r="B12" s="2">
        <v>14.731304347826086</v>
      </c>
      <c r="C12" t="e">
        <v>#NUM!</v>
      </c>
      <c r="D12" t="str">
        <f>_xlfn.XLOOKUP(A12,[1]Sheet2!$C:$C,[1]Sheet2!$B:$B,"")</f>
        <v/>
      </c>
      <c r="E12" t="str">
        <f>_xlfn.XLOOKUP(A12,[2]Sheet2!$C:$C,[2]Sheet2!$B:$B,"")</f>
        <v/>
      </c>
      <c r="F12" t="str">
        <f>_xlfn.XLOOKUP(A12,'[3]Monthly-Evolution-of-the-Purch'!$C:$C,'[3]Monthly-Evolution-of-the-Purch'!$B:$B,"")</f>
        <v/>
      </c>
      <c r="G12" t="str">
        <f>_xlfn.XLOOKUP(A12,[4]NGDPRSAXDCSAQ_PCH!$A:$A,[5]NGDPRSAXDCSAQ_PCH!$B:$B,"")</f>
        <v/>
      </c>
    </row>
    <row r="13" spans="1:7" x14ac:dyDescent="0.2">
      <c r="A13" s="3">
        <v>32234</v>
      </c>
      <c r="B13" s="2">
        <v>16.595263157894738</v>
      </c>
      <c r="C13" t="e">
        <v>#DIV/0!</v>
      </c>
      <c r="D13" t="str">
        <f>_xlfn.XLOOKUP(A13,[1]Sheet2!$C:$C,[1]Sheet2!$B:$B,"")</f>
        <v/>
      </c>
      <c r="E13" t="str">
        <f>_xlfn.XLOOKUP(A13,[2]Sheet2!$C:$C,[2]Sheet2!$B:$B,"")</f>
        <v/>
      </c>
      <c r="F13" t="str">
        <f>_xlfn.XLOOKUP(A13,'[3]Monthly-Evolution-of-the-Purch'!$C:$C,'[3]Monthly-Evolution-of-the-Purch'!$B:$B,"")</f>
        <v/>
      </c>
      <c r="G13" t="str">
        <f>_xlfn.XLOOKUP(A13,[4]NGDPRSAXDCSAQ_PCH!$A:$A,[5]NGDPRSAXDCSAQ_PCH!$B:$B,"")</f>
        <v/>
      </c>
    </row>
    <row r="14" spans="1:7" x14ac:dyDescent="0.2">
      <c r="A14" s="3">
        <v>32264</v>
      </c>
      <c r="B14" s="2">
        <v>16.314090909090911</v>
      </c>
      <c r="C14">
        <v>7.9218054431302049E-3</v>
      </c>
      <c r="D14" t="str">
        <f>_xlfn.XLOOKUP(A14,[1]Sheet2!$C:$C,[1]Sheet2!$B:$B,"")</f>
        <v/>
      </c>
      <c r="E14" t="str">
        <f>_xlfn.XLOOKUP(A14,[2]Sheet2!$C:$C,[2]Sheet2!$B:$B,"")</f>
        <v/>
      </c>
      <c r="F14" t="str">
        <f>_xlfn.XLOOKUP(A14,'[3]Monthly-Evolution-of-the-Purch'!$C:$C,'[3]Monthly-Evolution-of-the-Purch'!$B:$B,"")</f>
        <v/>
      </c>
      <c r="G14" t="str">
        <f>_xlfn.XLOOKUP(A14,[4]NGDPRSAXDCSAQ_PCH!$A:$A,[5]NGDPRSAXDCSAQ_PCH!$B:$B,"")</f>
        <v/>
      </c>
    </row>
    <row r="15" spans="1:7" x14ac:dyDescent="0.2">
      <c r="A15" s="3">
        <v>32295</v>
      </c>
      <c r="B15" s="2">
        <v>15.543636363636363</v>
      </c>
      <c r="C15">
        <v>1.3345551908465566E-2</v>
      </c>
      <c r="D15" t="str">
        <f>_xlfn.XLOOKUP(A15,[1]Sheet2!$C:$C,[1]Sheet2!$B:$B,"")</f>
        <v/>
      </c>
      <c r="E15" t="str">
        <f>_xlfn.XLOOKUP(A15,[2]Sheet2!$C:$C,[2]Sheet2!$B:$B,"")</f>
        <v/>
      </c>
      <c r="F15" t="str">
        <f>_xlfn.XLOOKUP(A15,'[3]Monthly-Evolution-of-the-Purch'!$C:$C,'[3]Monthly-Evolution-of-the-Purch'!$B:$B,"")</f>
        <v/>
      </c>
      <c r="G15" t="str">
        <f>_xlfn.XLOOKUP(A15,[4]NGDPRSAXDCSAQ_PCH!$A:$A,[5]NGDPRSAXDCSAQ_PCH!$B:$B,"")</f>
        <v/>
      </c>
    </row>
    <row r="16" spans="1:7" x14ac:dyDescent="0.2">
      <c r="A16" s="3">
        <v>32325</v>
      </c>
      <c r="B16" s="2">
        <v>14.907619047619047</v>
      </c>
      <c r="C16">
        <v>2.6793008624796104E-2</v>
      </c>
      <c r="D16" t="str">
        <f>_xlfn.XLOOKUP(A16,[1]Sheet2!$C:$C,[1]Sheet2!$B:$B,"")</f>
        <v/>
      </c>
      <c r="E16" t="str">
        <f>_xlfn.XLOOKUP(A16,[2]Sheet2!$C:$C,[2]Sheet2!$B:$B,"")</f>
        <v/>
      </c>
      <c r="F16" t="str">
        <f>_xlfn.XLOOKUP(A16,'[3]Monthly-Evolution-of-the-Purch'!$C:$C,'[3]Monthly-Evolution-of-the-Purch'!$B:$B,"")</f>
        <v/>
      </c>
      <c r="G16" t="str">
        <f>_xlfn.XLOOKUP(A16,[4]NGDPRSAXDCSAQ_PCH!$A:$A,[5]NGDPRSAXDCSAQ_PCH!$B:$B,"")</f>
        <v/>
      </c>
    </row>
    <row r="17" spans="1:7" x14ac:dyDescent="0.2">
      <c r="A17" s="3">
        <v>32356</v>
      </c>
      <c r="B17" s="2">
        <v>14.893913043478261</v>
      </c>
      <c r="C17">
        <v>1.5943305996638228E-2</v>
      </c>
      <c r="D17" t="str">
        <f>_xlfn.XLOOKUP(A17,[1]Sheet2!$C:$C,[1]Sheet2!$B:$B,"")</f>
        <v/>
      </c>
      <c r="E17" t="str">
        <f>_xlfn.XLOOKUP(A17,[2]Sheet2!$C:$C,[2]Sheet2!$B:$B,"")</f>
        <v/>
      </c>
      <c r="F17" t="str">
        <f>_xlfn.XLOOKUP(A17,'[3]Monthly-Evolution-of-the-Purch'!$C:$C,'[3]Monthly-Evolution-of-the-Purch'!$B:$B,"")</f>
        <v/>
      </c>
      <c r="G17" t="str">
        <f>_xlfn.XLOOKUP(A17,[4]NGDPRSAXDCSAQ_PCH!$A:$A,[5]NGDPRSAXDCSAQ_PCH!$B:$B,"")</f>
        <v/>
      </c>
    </row>
    <row r="18" spans="1:7" x14ac:dyDescent="0.2">
      <c r="A18" s="3">
        <v>32387</v>
      </c>
      <c r="B18" s="2">
        <v>13.179545454545455</v>
      </c>
      <c r="C18">
        <v>2.5630875804177212E-2</v>
      </c>
      <c r="D18" t="str">
        <f>_xlfn.XLOOKUP(A18,[1]Sheet2!$C:$C,[1]Sheet2!$B:$B,"")</f>
        <v/>
      </c>
      <c r="E18" t="str">
        <f>_xlfn.XLOOKUP(A18,[2]Sheet2!$C:$C,[2]Sheet2!$B:$B,"")</f>
        <v/>
      </c>
      <c r="F18" t="str">
        <f>_xlfn.XLOOKUP(A18,'[3]Monthly-Evolution-of-the-Purch'!$C:$C,'[3]Monthly-Evolution-of-the-Purch'!$B:$B,"")</f>
        <v/>
      </c>
      <c r="G18" t="str">
        <f>_xlfn.XLOOKUP(A18,[4]NGDPRSAXDCSAQ_PCH!$A:$A,[5]NGDPRSAXDCSAQ_PCH!$B:$B,"")</f>
        <v/>
      </c>
    </row>
    <row r="19" spans="1:7" x14ac:dyDescent="0.2">
      <c r="A19" s="3">
        <v>32417</v>
      </c>
      <c r="B19" s="2">
        <v>12.405714285714287</v>
      </c>
      <c r="C19">
        <v>3.6120287717199669E-2</v>
      </c>
      <c r="D19" t="str">
        <f>_xlfn.XLOOKUP(A19,[1]Sheet2!$C:$C,[1]Sheet2!$B:$B,"")</f>
        <v/>
      </c>
      <c r="E19" t="str">
        <f>_xlfn.XLOOKUP(A19,[2]Sheet2!$C:$C,[2]Sheet2!$B:$B,"")</f>
        <v/>
      </c>
      <c r="F19" t="str">
        <f>_xlfn.XLOOKUP(A19,'[3]Monthly-Evolution-of-the-Purch'!$C:$C,'[3]Monthly-Evolution-of-the-Purch'!$B:$B,"")</f>
        <v/>
      </c>
      <c r="G19" t="str">
        <f>_xlfn.XLOOKUP(A19,[4]NGDPRSAXDCSAQ_PCH!$A:$A,[5]NGDPRSAXDCSAQ_PCH!$B:$B,"")</f>
        <v/>
      </c>
    </row>
    <row r="20" spans="1:7" x14ac:dyDescent="0.2">
      <c r="A20" s="3">
        <v>32448</v>
      </c>
      <c r="B20" s="2">
        <v>13.024545454545455</v>
      </c>
      <c r="C20">
        <v>3.8508156567916299E-2</v>
      </c>
      <c r="D20" t="str">
        <f>_xlfn.XLOOKUP(A20,[1]Sheet2!$C:$C,[1]Sheet2!$B:$B,"")</f>
        <v/>
      </c>
      <c r="E20" t="str">
        <f>_xlfn.XLOOKUP(A20,[2]Sheet2!$C:$C,[2]Sheet2!$B:$B,"")</f>
        <v/>
      </c>
      <c r="F20" t="str">
        <f>_xlfn.XLOOKUP(A20,'[3]Monthly-Evolution-of-the-Purch'!$C:$C,'[3]Monthly-Evolution-of-the-Purch'!$B:$B,"")</f>
        <v/>
      </c>
      <c r="G20" t="str">
        <f>_xlfn.XLOOKUP(A20,[4]NGDPRSAXDCSAQ_PCH!$A:$A,[5]NGDPRSAXDCSAQ_PCH!$B:$B,"")</f>
        <v/>
      </c>
    </row>
    <row r="21" spans="1:7" x14ac:dyDescent="0.2">
      <c r="A21" s="3">
        <v>32478</v>
      </c>
      <c r="B21" s="2">
        <v>15.306666666666668</v>
      </c>
      <c r="C21" t="e">
        <v>#NUM!</v>
      </c>
      <c r="D21" t="str">
        <f>_xlfn.XLOOKUP(A21,[1]Sheet2!$C:$C,[1]Sheet2!$B:$B,"")</f>
        <v/>
      </c>
      <c r="E21" t="str">
        <f>_xlfn.XLOOKUP(A21,[2]Sheet2!$C:$C,[2]Sheet2!$B:$B,"")</f>
        <v/>
      </c>
      <c r="F21" t="str">
        <f>_xlfn.XLOOKUP(A21,'[3]Monthly-Evolution-of-the-Purch'!$C:$C,'[3]Monthly-Evolution-of-the-Purch'!$B:$B,"")</f>
        <v/>
      </c>
      <c r="G21" t="str">
        <f>_xlfn.XLOOKUP(A21,[4]NGDPRSAXDCSAQ_PCH!$A:$A,[5]NGDPRSAXDCSAQ_PCH!$B:$B,"")</f>
        <v/>
      </c>
    </row>
    <row r="22" spans="1:7" x14ac:dyDescent="0.2">
      <c r="A22" s="3">
        <v>32509</v>
      </c>
      <c r="B22" s="2">
        <v>17.171904761904763</v>
      </c>
      <c r="C22" t="e">
        <v>#DIV/0!</v>
      </c>
      <c r="D22" t="str">
        <f>_xlfn.XLOOKUP(A22,[1]Sheet2!$C:$C,[1]Sheet2!$B:$B,"")</f>
        <v/>
      </c>
      <c r="E22" t="str">
        <f>_xlfn.XLOOKUP(A22,[2]Sheet2!$C:$C,[2]Sheet2!$B:$B,"")</f>
        <v/>
      </c>
      <c r="F22" t="str">
        <f>_xlfn.XLOOKUP(A22,'[3]Monthly-Evolution-of-the-Purch'!$C:$C,'[3]Monthly-Evolution-of-the-Purch'!$B:$B,"")</f>
        <v/>
      </c>
      <c r="G22" t="str">
        <f>_xlfn.XLOOKUP(A22,[4]NGDPRSAXDCSAQ_PCH!$A:$A,[5]NGDPRSAXDCSAQ_PCH!$B:$B,"")</f>
        <v/>
      </c>
    </row>
    <row r="23" spans="1:7" x14ac:dyDescent="0.2">
      <c r="A23" s="3">
        <v>32540</v>
      </c>
      <c r="B23" s="2">
        <v>16.888500000000001</v>
      </c>
      <c r="C23">
        <v>1.528450785653521E-2</v>
      </c>
      <c r="D23" t="str">
        <f>_xlfn.XLOOKUP(A23,[1]Sheet2!$C:$C,[1]Sheet2!$B:$B,"")</f>
        <v/>
      </c>
      <c r="E23" t="str">
        <f>_xlfn.XLOOKUP(A23,[2]Sheet2!$C:$C,[2]Sheet2!$B:$B,"")</f>
        <v/>
      </c>
      <c r="F23" t="str">
        <f>_xlfn.XLOOKUP(A23,'[3]Monthly-Evolution-of-the-Purch'!$C:$C,'[3]Monthly-Evolution-of-the-Purch'!$B:$B,"")</f>
        <v/>
      </c>
      <c r="G23" t="str">
        <f>_xlfn.XLOOKUP(A23,[4]NGDPRSAXDCSAQ_PCH!$A:$A,[5]NGDPRSAXDCSAQ_PCH!$B:$B,"")</f>
        <v/>
      </c>
    </row>
    <row r="24" spans="1:7" x14ac:dyDescent="0.2">
      <c r="A24" s="3">
        <v>32568</v>
      </c>
      <c r="B24" s="2">
        <v>18.700952380952383</v>
      </c>
      <c r="C24" t="e">
        <v>#NUM!</v>
      </c>
      <c r="D24" t="str">
        <f>_xlfn.XLOOKUP(A24,[1]Sheet2!$C:$C,[1]Sheet2!$B:$B,"")</f>
        <v/>
      </c>
      <c r="E24" t="str">
        <f>_xlfn.XLOOKUP(A24,[2]Sheet2!$C:$C,[2]Sheet2!$B:$B,"")</f>
        <v/>
      </c>
      <c r="F24" t="str">
        <f>_xlfn.XLOOKUP(A24,'[3]Monthly-Evolution-of-the-Purch'!$C:$C,'[3]Monthly-Evolution-of-the-Purch'!$B:$B,"")</f>
        <v/>
      </c>
      <c r="G24" t="str">
        <f>_xlfn.XLOOKUP(A24,[4]NGDPRSAXDCSAQ_PCH!$A:$A,[5]NGDPRSAXDCSAQ_PCH!$B:$B,"")</f>
        <v/>
      </c>
    </row>
    <row r="25" spans="1:7" x14ac:dyDescent="0.2">
      <c r="A25" s="3">
        <v>32599</v>
      </c>
      <c r="B25" s="2">
        <v>20.319499999999994</v>
      </c>
      <c r="C25" t="e">
        <v>#NUM!</v>
      </c>
      <c r="D25" t="str">
        <f>_xlfn.XLOOKUP(A25,[1]Sheet2!$C:$C,[1]Sheet2!$B:$B,"")</f>
        <v/>
      </c>
      <c r="E25" t="str">
        <f>_xlfn.XLOOKUP(A25,[2]Sheet2!$C:$C,[2]Sheet2!$B:$B,"")</f>
        <v/>
      </c>
      <c r="F25" t="str">
        <f>_xlfn.XLOOKUP(A25,'[3]Monthly-Evolution-of-the-Purch'!$C:$C,'[3]Monthly-Evolution-of-the-Purch'!$B:$B,"")</f>
        <v/>
      </c>
      <c r="G25" t="str">
        <f>_xlfn.XLOOKUP(A25,[4]NGDPRSAXDCSAQ_PCH!$A:$A,[5]NGDPRSAXDCSAQ_PCH!$B:$B,"")</f>
        <v/>
      </c>
    </row>
    <row r="26" spans="1:7" x14ac:dyDescent="0.2">
      <c r="A26" s="3">
        <v>32629</v>
      </c>
      <c r="B26" s="2">
        <v>18.633181818181814</v>
      </c>
      <c r="C26" t="e">
        <v>#DIV/0!</v>
      </c>
      <c r="D26" t="str">
        <f>_xlfn.XLOOKUP(A26,[1]Sheet2!$C:$C,[1]Sheet2!$B:$B,"")</f>
        <v/>
      </c>
      <c r="E26" t="str">
        <f>_xlfn.XLOOKUP(A26,[2]Sheet2!$C:$C,[2]Sheet2!$B:$B,"")</f>
        <v/>
      </c>
      <c r="F26" t="str">
        <f>_xlfn.XLOOKUP(A26,'[3]Monthly-Evolution-of-the-Purch'!$C:$C,'[3]Monthly-Evolution-of-the-Purch'!$B:$B,"")</f>
        <v/>
      </c>
      <c r="G26" t="str">
        <f>_xlfn.XLOOKUP(A26,[4]NGDPRSAXDCSAQ_PCH!$A:$A,[5]NGDPRSAXDCSAQ_PCH!$B:$B,"")</f>
        <v/>
      </c>
    </row>
    <row r="27" spans="1:7" x14ac:dyDescent="0.2">
      <c r="A27" s="3">
        <v>32660</v>
      </c>
      <c r="B27" s="2">
        <v>17.670909090909092</v>
      </c>
      <c r="C27">
        <v>1.7837281968371234E-2</v>
      </c>
      <c r="D27" t="str">
        <f>_xlfn.XLOOKUP(A27,[1]Sheet2!$C:$C,[1]Sheet2!$B:$B,"")</f>
        <v/>
      </c>
      <c r="E27" t="str">
        <f>_xlfn.XLOOKUP(A27,[2]Sheet2!$C:$C,[2]Sheet2!$B:$B,"")</f>
        <v/>
      </c>
      <c r="F27" t="str">
        <f>_xlfn.XLOOKUP(A27,'[3]Monthly-Evolution-of-the-Purch'!$C:$C,'[3]Monthly-Evolution-of-the-Purch'!$B:$B,"")</f>
        <v/>
      </c>
      <c r="G27" t="str">
        <f>_xlfn.XLOOKUP(A27,[4]NGDPRSAXDCSAQ_PCH!$A:$A,[5]NGDPRSAXDCSAQ_PCH!$B:$B,"")</f>
        <v/>
      </c>
    </row>
    <row r="28" spans="1:7" x14ac:dyDescent="0.2">
      <c r="A28" s="3">
        <v>32690</v>
      </c>
      <c r="B28" s="2">
        <v>17.622857142857143</v>
      </c>
      <c r="C28">
        <v>1.3855474370090834E-2</v>
      </c>
      <c r="D28" t="str">
        <f>_xlfn.XLOOKUP(A28,[1]Sheet2!$C:$C,[1]Sheet2!$B:$B,"")</f>
        <v/>
      </c>
      <c r="E28" t="str">
        <f>_xlfn.XLOOKUP(A28,[2]Sheet2!$C:$C,[2]Sheet2!$B:$B,"")</f>
        <v/>
      </c>
      <c r="F28" t="str">
        <f>_xlfn.XLOOKUP(A28,'[3]Monthly-Evolution-of-the-Purch'!$C:$C,'[3]Monthly-Evolution-of-the-Purch'!$B:$B,"")</f>
        <v/>
      </c>
      <c r="G28" t="str">
        <f>_xlfn.XLOOKUP(A28,[4]NGDPRSAXDCSAQ_PCH!$A:$A,[5]NGDPRSAXDCSAQ_PCH!$B:$B,"")</f>
        <v/>
      </c>
    </row>
    <row r="29" spans="1:7" x14ac:dyDescent="0.2">
      <c r="A29" s="3">
        <v>32721</v>
      </c>
      <c r="B29" s="2">
        <v>16.77</v>
      </c>
      <c r="C29">
        <v>9.9722158730854073E-3</v>
      </c>
      <c r="D29" t="str">
        <f>_xlfn.XLOOKUP(A29,[1]Sheet2!$C:$C,[1]Sheet2!$B:$B,"")</f>
        <v/>
      </c>
      <c r="E29" t="str">
        <f>_xlfn.XLOOKUP(A29,[2]Sheet2!$C:$C,[2]Sheet2!$B:$B,"")</f>
        <v/>
      </c>
      <c r="F29" t="str">
        <f>_xlfn.XLOOKUP(A29,'[3]Monthly-Evolution-of-the-Purch'!$C:$C,'[3]Monthly-Evolution-of-the-Purch'!$B:$B,"")</f>
        <v/>
      </c>
      <c r="G29" t="str">
        <f>_xlfn.XLOOKUP(A29,[4]NGDPRSAXDCSAQ_PCH!$A:$A,[5]NGDPRSAXDCSAQ_PCH!$B:$B,"")</f>
        <v/>
      </c>
    </row>
    <row r="30" spans="1:7" x14ac:dyDescent="0.2">
      <c r="A30" s="3">
        <v>32752</v>
      </c>
      <c r="B30" s="2">
        <v>17.766190476190477</v>
      </c>
      <c r="C30">
        <v>1.0262456730479694E-2</v>
      </c>
      <c r="D30" t="str">
        <f>_xlfn.XLOOKUP(A30,[1]Sheet2!$C:$C,[1]Sheet2!$B:$B,"")</f>
        <v/>
      </c>
      <c r="E30" t="str">
        <f>_xlfn.XLOOKUP(A30,[2]Sheet2!$C:$C,[2]Sheet2!$B:$B,"")</f>
        <v/>
      </c>
      <c r="F30" t="str">
        <f>_xlfn.XLOOKUP(A30,'[3]Monthly-Evolution-of-the-Purch'!$C:$C,'[3]Monthly-Evolution-of-the-Purch'!$B:$B,"")</f>
        <v/>
      </c>
      <c r="G30" t="str">
        <f>_xlfn.XLOOKUP(A30,[4]NGDPRSAXDCSAQ_PCH!$A:$A,[5]NGDPRSAXDCSAQ_PCH!$B:$B,"")</f>
        <v/>
      </c>
    </row>
    <row r="31" spans="1:7" x14ac:dyDescent="0.2">
      <c r="A31" s="3">
        <v>32782</v>
      </c>
      <c r="B31" s="2">
        <v>18.907727272727275</v>
      </c>
      <c r="C31">
        <v>1.2825383064672086E-2</v>
      </c>
      <c r="D31" t="str">
        <f>_xlfn.XLOOKUP(A31,[1]Sheet2!$C:$C,[1]Sheet2!$B:$B,"")</f>
        <v/>
      </c>
      <c r="E31" t="str">
        <f>_xlfn.XLOOKUP(A31,[2]Sheet2!$C:$C,[2]Sheet2!$B:$B,"")</f>
        <v/>
      </c>
      <c r="F31" t="str">
        <f>_xlfn.XLOOKUP(A31,'[3]Monthly-Evolution-of-the-Purch'!$C:$C,'[3]Monthly-Evolution-of-the-Purch'!$B:$B,"")</f>
        <v/>
      </c>
      <c r="G31" t="str">
        <f>_xlfn.XLOOKUP(A31,[4]NGDPRSAXDCSAQ_PCH!$A:$A,[5]NGDPRSAXDCSAQ_PCH!$B:$B,"")</f>
        <v/>
      </c>
    </row>
    <row r="32" spans="1:7" x14ac:dyDescent="0.2">
      <c r="A32" s="3">
        <v>32813</v>
      </c>
      <c r="B32" s="2">
        <v>18.72727272727273</v>
      </c>
      <c r="C32">
        <v>7.85750038782238E-3</v>
      </c>
      <c r="D32" t="str">
        <f>_xlfn.XLOOKUP(A32,[1]Sheet2!$C:$C,[1]Sheet2!$B:$B,"")</f>
        <v/>
      </c>
      <c r="E32" t="str">
        <f>_xlfn.XLOOKUP(A32,[2]Sheet2!$C:$C,[2]Sheet2!$B:$B,"")</f>
        <v/>
      </c>
      <c r="F32" t="str">
        <f>_xlfn.XLOOKUP(A32,'[3]Monthly-Evolution-of-the-Purch'!$C:$C,'[3]Monthly-Evolution-of-the-Purch'!$B:$B,"")</f>
        <v/>
      </c>
      <c r="G32" t="str">
        <f>_xlfn.XLOOKUP(A32,[4]NGDPRSAXDCSAQ_PCH!$A:$A,[5]NGDPRSAXDCSAQ_PCH!$B:$B,"")</f>
        <v/>
      </c>
    </row>
    <row r="33" spans="1:7" x14ac:dyDescent="0.2">
      <c r="A33" s="3">
        <v>32843</v>
      </c>
      <c r="B33" s="2">
        <v>19.838947368421053</v>
      </c>
      <c r="C33" t="e">
        <v>#NUM!</v>
      </c>
      <c r="D33" t="str">
        <f>_xlfn.XLOOKUP(A33,[1]Sheet2!$C:$C,[1]Sheet2!$B:$B,"")</f>
        <v/>
      </c>
      <c r="E33" t="str">
        <f>_xlfn.XLOOKUP(A33,[2]Sheet2!$C:$C,[2]Sheet2!$B:$B,"")</f>
        <v/>
      </c>
      <c r="F33" t="str">
        <f>_xlfn.XLOOKUP(A33,'[3]Monthly-Evolution-of-the-Purch'!$C:$C,'[3]Monthly-Evolution-of-the-Purch'!$B:$B,"")</f>
        <v/>
      </c>
      <c r="G33" t="str">
        <f>_xlfn.XLOOKUP(A33,[4]NGDPRSAXDCSAQ_PCH!$A:$A,[5]NGDPRSAXDCSAQ_PCH!$B:$B,"")</f>
        <v/>
      </c>
    </row>
    <row r="34" spans="1:7" x14ac:dyDescent="0.2">
      <c r="A34" s="3">
        <v>32874</v>
      </c>
      <c r="B34" s="2">
        <v>21.25181818181818</v>
      </c>
      <c r="C34" t="e">
        <v>#DIV/0!</v>
      </c>
      <c r="D34" t="str">
        <f>_xlfn.XLOOKUP(A34,[1]Sheet2!$C:$C,[1]Sheet2!$B:$B,"")</f>
        <v/>
      </c>
      <c r="E34" t="str">
        <f>_xlfn.XLOOKUP(A34,[2]Sheet2!$C:$C,[2]Sheet2!$B:$B,"")</f>
        <v/>
      </c>
      <c r="F34" t="str">
        <f>_xlfn.XLOOKUP(A34,'[3]Monthly-Evolution-of-the-Purch'!$C:$C,'[3]Monthly-Evolution-of-the-Purch'!$B:$B,"")</f>
        <v/>
      </c>
      <c r="G34" t="str">
        <f>_xlfn.XLOOKUP(A34,[4]NGDPRSAXDCSAQ_PCH!$A:$A,[5]NGDPRSAXDCSAQ_PCH!$B:$B,"")</f>
        <v/>
      </c>
    </row>
    <row r="35" spans="1:7" x14ac:dyDescent="0.2">
      <c r="A35" s="3">
        <v>32905</v>
      </c>
      <c r="B35" s="2">
        <v>19.813500000000001</v>
      </c>
      <c r="C35">
        <v>1.3151302961012797E-2</v>
      </c>
      <c r="D35" t="str">
        <f>_xlfn.XLOOKUP(A35,[1]Sheet2!$C:$C,[1]Sheet2!$B:$B,"")</f>
        <v/>
      </c>
      <c r="E35" t="str">
        <f>_xlfn.XLOOKUP(A35,[2]Sheet2!$C:$C,[2]Sheet2!$B:$B,"")</f>
        <v/>
      </c>
      <c r="F35" t="str">
        <f>_xlfn.XLOOKUP(A35,'[3]Monthly-Evolution-of-the-Purch'!$C:$C,'[3]Monthly-Evolution-of-the-Purch'!$B:$B,"")</f>
        <v/>
      </c>
      <c r="G35" t="str">
        <f>_xlfn.XLOOKUP(A35,[4]NGDPRSAXDCSAQ_PCH!$A:$A,[5]NGDPRSAXDCSAQ_PCH!$B:$B,"")</f>
        <v/>
      </c>
    </row>
    <row r="36" spans="1:7" x14ac:dyDescent="0.2">
      <c r="A36" s="3">
        <v>32933</v>
      </c>
      <c r="B36" s="2">
        <v>18.38727272727273</v>
      </c>
      <c r="C36">
        <v>1.1251211381855921E-2</v>
      </c>
      <c r="D36" t="str">
        <f>_xlfn.XLOOKUP(A36,[1]Sheet2!$C:$C,[1]Sheet2!$B:$B,"")</f>
        <v/>
      </c>
      <c r="E36" t="str">
        <f>_xlfn.XLOOKUP(A36,[2]Sheet2!$C:$C,[2]Sheet2!$B:$B,"")</f>
        <v/>
      </c>
      <c r="F36" t="str">
        <f>_xlfn.XLOOKUP(A36,'[3]Monthly-Evolution-of-the-Purch'!$C:$C,'[3]Monthly-Evolution-of-the-Purch'!$B:$B,"")</f>
        <v/>
      </c>
      <c r="G36" t="str">
        <f>_xlfn.XLOOKUP(A36,[4]NGDPRSAXDCSAQ_PCH!$A:$A,[5]NGDPRSAXDCSAQ_PCH!$B:$B,"")</f>
        <v/>
      </c>
    </row>
    <row r="37" spans="1:7" x14ac:dyDescent="0.2">
      <c r="A37" s="3">
        <v>32964</v>
      </c>
      <c r="B37" s="2">
        <v>16.612105263157897</v>
      </c>
      <c r="C37" t="e">
        <v>#NUM!</v>
      </c>
      <c r="D37" t="str">
        <f>_xlfn.XLOOKUP(A37,[1]Sheet2!$C:$C,[1]Sheet2!$B:$B,"")</f>
        <v/>
      </c>
      <c r="E37" t="str">
        <f>_xlfn.XLOOKUP(A37,[2]Sheet2!$C:$C,[2]Sheet2!$B:$B,"")</f>
        <v/>
      </c>
      <c r="F37" t="str">
        <f>_xlfn.XLOOKUP(A37,'[3]Monthly-Evolution-of-the-Purch'!$C:$C,'[3]Monthly-Evolution-of-the-Purch'!$B:$B,"")</f>
        <v/>
      </c>
      <c r="G37" t="str">
        <f>_xlfn.XLOOKUP(A37,[4]NGDPRSAXDCSAQ_PCH!$A:$A,[5]NGDPRSAXDCSAQ_PCH!$B:$B,"")</f>
        <v/>
      </c>
    </row>
    <row r="38" spans="1:7" x14ac:dyDescent="0.2">
      <c r="A38" s="3">
        <v>32994</v>
      </c>
      <c r="B38" s="2">
        <v>16.35227272727273</v>
      </c>
      <c r="C38" t="e">
        <v>#NUM!</v>
      </c>
      <c r="D38" t="str">
        <f>_xlfn.XLOOKUP(A38,[1]Sheet2!$C:$C,[1]Sheet2!$B:$B,"")</f>
        <v/>
      </c>
      <c r="E38" t="str">
        <f>_xlfn.XLOOKUP(A38,[2]Sheet2!$C:$C,[2]Sheet2!$B:$B,"")</f>
        <v/>
      </c>
      <c r="F38" t="str">
        <f>_xlfn.XLOOKUP(A38,'[3]Monthly-Evolution-of-the-Purch'!$C:$C,'[3]Monthly-Evolution-of-the-Purch'!$B:$B,"")</f>
        <v/>
      </c>
      <c r="G38" t="str">
        <f>_xlfn.XLOOKUP(A38,[4]NGDPRSAXDCSAQ_PCH!$A:$A,[5]NGDPRSAXDCSAQ_PCH!$B:$B,"")</f>
        <v/>
      </c>
    </row>
    <row r="39" spans="1:7" x14ac:dyDescent="0.2">
      <c r="A39" s="3">
        <v>33025</v>
      </c>
      <c r="B39" s="2">
        <v>15.104761904761906</v>
      </c>
      <c r="C39">
        <v>1.8649749713536494E-2</v>
      </c>
      <c r="D39" t="str">
        <f>_xlfn.XLOOKUP(A39,[1]Sheet2!$C:$C,[1]Sheet2!$B:$B,"")</f>
        <v/>
      </c>
      <c r="E39" t="str">
        <f>_xlfn.XLOOKUP(A39,[2]Sheet2!$C:$C,[2]Sheet2!$B:$B,"")</f>
        <v/>
      </c>
      <c r="F39" t="str">
        <f>_xlfn.XLOOKUP(A39,'[3]Monthly-Evolution-of-the-Purch'!$C:$C,'[3]Monthly-Evolution-of-the-Purch'!$B:$B,"")</f>
        <v/>
      </c>
      <c r="G39" t="str">
        <f>_xlfn.XLOOKUP(A39,[4]NGDPRSAXDCSAQ_PCH!$A:$A,[5]NGDPRSAXDCSAQ_PCH!$B:$B,"")</f>
        <v/>
      </c>
    </row>
    <row r="40" spans="1:7" x14ac:dyDescent="0.2">
      <c r="A40" s="3">
        <v>33055</v>
      </c>
      <c r="B40" s="2">
        <v>17.169090909090912</v>
      </c>
      <c r="C40">
        <v>2.19561516885062E-2</v>
      </c>
      <c r="D40" t="str">
        <f>_xlfn.XLOOKUP(A40,[1]Sheet2!$C:$C,[1]Sheet2!$B:$B,"")</f>
        <v/>
      </c>
      <c r="E40" t="str">
        <f>_xlfn.XLOOKUP(A40,[2]Sheet2!$C:$C,[2]Sheet2!$B:$B,"")</f>
        <v/>
      </c>
      <c r="F40" t="str">
        <f>_xlfn.XLOOKUP(A40,'[3]Monthly-Evolution-of-the-Purch'!$C:$C,'[3]Monthly-Evolution-of-the-Purch'!$B:$B,"")</f>
        <v/>
      </c>
      <c r="G40" t="str">
        <f>_xlfn.XLOOKUP(A40,[4]NGDPRSAXDCSAQ_PCH!$A:$A,[5]NGDPRSAXDCSAQ_PCH!$B:$B,"")</f>
        <v/>
      </c>
    </row>
    <row r="41" spans="1:7" x14ac:dyDescent="0.2">
      <c r="A41" s="3">
        <v>33086</v>
      </c>
      <c r="B41" s="2">
        <v>27.167391304347824</v>
      </c>
      <c r="C41">
        <v>5.6949408397108735E-2</v>
      </c>
      <c r="D41" t="str">
        <f>_xlfn.XLOOKUP(A41,[1]Sheet2!$C:$C,[1]Sheet2!$B:$B,"")</f>
        <v/>
      </c>
      <c r="E41" t="str">
        <f>_xlfn.XLOOKUP(A41,[2]Sheet2!$C:$C,[2]Sheet2!$B:$B,"")</f>
        <v/>
      </c>
      <c r="F41" t="str">
        <f>_xlfn.XLOOKUP(A41,'[3]Monthly-Evolution-of-the-Purch'!$C:$C,'[3]Monthly-Evolution-of-the-Purch'!$B:$B,"")</f>
        <v/>
      </c>
      <c r="G41" t="str">
        <f>_xlfn.XLOOKUP(A41,[4]NGDPRSAXDCSAQ_PCH!$A:$A,[5]NGDPRSAXDCSAQ_PCH!$B:$B,"")</f>
        <v/>
      </c>
    </row>
    <row r="42" spans="1:7" x14ac:dyDescent="0.2">
      <c r="A42" s="3">
        <v>33117</v>
      </c>
      <c r="B42" s="2">
        <v>34.899000000000001</v>
      </c>
      <c r="C42">
        <v>3.4104416199831691E-2</v>
      </c>
      <c r="D42" t="str">
        <f>_xlfn.XLOOKUP(A42,[1]Sheet2!$C:$C,[1]Sheet2!$B:$B,"")</f>
        <v/>
      </c>
      <c r="E42" t="str">
        <f>_xlfn.XLOOKUP(A42,[2]Sheet2!$C:$C,[2]Sheet2!$B:$B,"")</f>
        <v/>
      </c>
      <c r="F42" t="str">
        <f>_xlfn.XLOOKUP(A42,'[3]Monthly-Evolution-of-the-Purch'!$C:$C,'[3]Monthly-Evolution-of-the-Purch'!$B:$B,"")</f>
        <v/>
      </c>
      <c r="G42" t="str">
        <f>_xlfn.XLOOKUP(A42,[4]NGDPRSAXDCSAQ_PCH!$A:$A,[5]NGDPRSAXDCSAQ_PCH!$B:$B,"")</f>
        <v/>
      </c>
    </row>
    <row r="43" spans="1:7" x14ac:dyDescent="0.2">
      <c r="A43" s="3">
        <v>33147</v>
      </c>
      <c r="B43" s="2">
        <v>36.022608695652174</v>
      </c>
      <c r="C43">
        <v>6.3063467031115719E-2</v>
      </c>
      <c r="D43" t="str">
        <f>_xlfn.XLOOKUP(A43,[1]Sheet2!$C:$C,[1]Sheet2!$B:$B,"")</f>
        <v/>
      </c>
      <c r="E43" t="str">
        <f>_xlfn.XLOOKUP(A43,[2]Sheet2!$C:$C,[2]Sheet2!$B:$B,"")</f>
        <v/>
      </c>
      <c r="F43" t="str">
        <f>_xlfn.XLOOKUP(A43,'[3]Monthly-Evolution-of-the-Purch'!$C:$C,'[3]Monthly-Evolution-of-the-Purch'!$B:$B,"")</f>
        <v/>
      </c>
      <c r="G43" t="str">
        <f>_xlfn.XLOOKUP(A43,[4]NGDPRSAXDCSAQ_PCH!$A:$A,[5]NGDPRSAXDCSAQ_PCH!$B:$B,"")</f>
        <v/>
      </c>
    </row>
    <row r="44" spans="1:7" x14ac:dyDescent="0.2">
      <c r="A44" s="3">
        <v>33178</v>
      </c>
      <c r="B44" s="2">
        <v>33.06727272727273</v>
      </c>
      <c r="C44">
        <v>3.9643225034214288E-2</v>
      </c>
      <c r="D44" t="str">
        <f>_xlfn.XLOOKUP(A44,[1]Sheet2!$C:$C,[1]Sheet2!$B:$B,"")</f>
        <v/>
      </c>
      <c r="E44" t="str">
        <f>_xlfn.XLOOKUP(A44,[2]Sheet2!$C:$C,[2]Sheet2!$B:$B,"")</f>
        <v/>
      </c>
      <c r="F44" t="str">
        <f>_xlfn.XLOOKUP(A44,'[3]Monthly-Evolution-of-the-Purch'!$C:$C,'[3]Monthly-Evolution-of-the-Purch'!$B:$B,"")</f>
        <v/>
      </c>
      <c r="G44" t="str">
        <f>_xlfn.XLOOKUP(A44,[4]NGDPRSAXDCSAQ_PCH!$A:$A,[5]NGDPRSAXDCSAQ_PCH!$B:$B,"")</f>
        <v/>
      </c>
    </row>
    <row r="45" spans="1:7" x14ac:dyDescent="0.2">
      <c r="A45" s="3">
        <v>33208</v>
      </c>
      <c r="B45" s="2">
        <v>28.273500000000002</v>
      </c>
      <c r="C45" t="e">
        <v>#NUM!</v>
      </c>
      <c r="D45" t="str">
        <f>_xlfn.XLOOKUP(A45,[1]Sheet2!$C:$C,[1]Sheet2!$B:$B,"")</f>
        <v/>
      </c>
      <c r="E45" t="str">
        <f>_xlfn.XLOOKUP(A45,[2]Sheet2!$C:$C,[2]Sheet2!$B:$B,"")</f>
        <v/>
      </c>
      <c r="F45" t="str">
        <f>_xlfn.XLOOKUP(A45,'[3]Monthly-Evolution-of-the-Purch'!$C:$C,'[3]Monthly-Evolution-of-the-Purch'!$B:$B,"")</f>
        <v/>
      </c>
      <c r="G45" t="str">
        <f>_xlfn.XLOOKUP(A45,[4]NGDPRSAXDCSAQ_PCH!$A:$A,[5]NGDPRSAXDCSAQ_PCH!$B:$B,"")</f>
        <v/>
      </c>
    </row>
    <row r="46" spans="1:7" x14ac:dyDescent="0.2">
      <c r="A46" s="3">
        <v>33239</v>
      </c>
      <c r="B46" s="2">
        <v>23.566363636363636</v>
      </c>
      <c r="C46" t="e">
        <v>#DIV/0!</v>
      </c>
      <c r="D46" t="str">
        <f>_xlfn.XLOOKUP(A46,[1]Sheet2!$C:$C,[1]Sheet2!$B:$B,"")</f>
        <v/>
      </c>
      <c r="E46" t="str">
        <f>_xlfn.XLOOKUP(A46,[2]Sheet2!$C:$C,[2]Sheet2!$B:$B,"")</f>
        <v/>
      </c>
      <c r="F46" t="str">
        <f>_xlfn.XLOOKUP(A46,'[3]Monthly-Evolution-of-the-Purch'!$C:$C,'[3]Monthly-Evolution-of-the-Purch'!$B:$B,"")</f>
        <v/>
      </c>
      <c r="G46" t="str">
        <f>_xlfn.XLOOKUP(A46,[4]NGDPRSAXDCSAQ_PCH!$A:$A,[5]NGDPRSAXDCSAQ_PCH!$B:$B,"")</f>
        <v/>
      </c>
    </row>
    <row r="47" spans="1:7" x14ac:dyDescent="0.2">
      <c r="A47" s="3">
        <v>33270</v>
      </c>
      <c r="B47" s="2">
        <v>19.535999999999998</v>
      </c>
      <c r="C47">
        <v>3.5827912308385661E-2</v>
      </c>
      <c r="D47" t="str">
        <f>_xlfn.XLOOKUP(A47,[1]Sheet2!$C:$C,[1]Sheet2!$B:$B,"")</f>
        <v/>
      </c>
      <c r="E47" t="str">
        <f>_xlfn.XLOOKUP(A47,[2]Sheet2!$C:$C,[2]Sheet2!$B:$B,"")</f>
        <v/>
      </c>
      <c r="F47" t="str">
        <f>_xlfn.XLOOKUP(A47,'[3]Monthly-Evolution-of-the-Purch'!$C:$C,'[3]Monthly-Evolution-of-the-Purch'!$B:$B,"")</f>
        <v/>
      </c>
      <c r="G47" t="str">
        <f>_xlfn.XLOOKUP(A47,[4]NGDPRSAXDCSAQ_PCH!$A:$A,[5]NGDPRSAXDCSAQ_PCH!$B:$B,"")</f>
        <v/>
      </c>
    </row>
    <row r="48" spans="1:7" x14ac:dyDescent="0.2">
      <c r="A48" s="3">
        <v>33298</v>
      </c>
      <c r="B48" s="2">
        <v>19.082500000000003</v>
      </c>
      <c r="C48" t="e">
        <v>#NUM!</v>
      </c>
      <c r="D48" t="str">
        <f>_xlfn.XLOOKUP(A48,[1]Sheet2!$C:$C,[1]Sheet2!$B:$B,"")</f>
        <v/>
      </c>
      <c r="E48" t="str">
        <f>_xlfn.XLOOKUP(A48,[2]Sheet2!$C:$C,[2]Sheet2!$B:$B,"")</f>
        <v/>
      </c>
      <c r="F48" t="str">
        <f>_xlfn.XLOOKUP(A48,'[3]Monthly-Evolution-of-the-Purch'!$C:$C,'[3]Monthly-Evolution-of-the-Purch'!$B:$B,"")</f>
        <v/>
      </c>
      <c r="G48" t="str">
        <f>_xlfn.XLOOKUP(A48,[4]NGDPRSAXDCSAQ_PCH!$A:$A,[5]NGDPRSAXDCSAQ_PCH!$B:$B,"")</f>
        <v/>
      </c>
    </row>
    <row r="49" spans="1:7" x14ac:dyDescent="0.2">
      <c r="A49" s="3">
        <v>33329</v>
      </c>
      <c r="B49" s="2">
        <v>19.18</v>
      </c>
      <c r="C49">
        <v>1.5851046978659616E-2</v>
      </c>
      <c r="D49" t="str">
        <f>_xlfn.XLOOKUP(A49,[1]Sheet2!$C:$C,[1]Sheet2!$B:$B,"")</f>
        <v/>
      </c>
      <c r="E49" t="str">
        <f>_xlfn.XLOOKUP(A49,[2]Sheet2!$C:$C,[2]Sheet2!$B:$B,"")</f>
        <v/>
      </c>
      <c r="F49" t="str">
        <f>_xlfn.XLOOKUP(A49,'[3]Monthly-Evolution-of-the-Purch'!$C:$C,'[3]Monthly-Evolution-of-the-Purch'!$B:$B,"")</f>
        <v/>
      </c>
      <c r="G49" t="str">
        <f>_xlfn.XLOOKUP(A49,[4]NGDPRSAXDCSAQ_PCH!$A:$A,[5]NGDPRSAXDCSAQ_PCH!$B:$B,"")</f>
        <v/>
      </c>
    </row>
    <row r="50" spans="1:7" x14ac:dyDescent="0.2">
      <c r="A50" s="3">
        <v>33359</v>
      </c>
      <c r="B50" s="2">
        <v>19.186818181818179</v>
      </c>
      <c r="C50" t="e">
        <v>#NUM!</v>
      </c>
      <c r="D50" t="str">
        <f>_xlfn.XLOOKUP(A50,[1]Sheet2!$C:$C,[1]Sheet2!$B:$B,"")</f>
        <v/>
      </c>
      <c r="E50" t="str">
        <f>_xlfn.XLOOKUP(A50,[2]Sheet2!$C:$C,[2]Sheet2!$B:$B,"")</f>
        <v/>
      </c>
      <c r="F50" t="str">
        <f>_xlfn.XLOOKUP(A50,'[3]Monthly-Evolution-of-the-Purch'!$C:$C,'[3]Monthly-Evolution-of-the-Purch'!$B:$B,"")</f>
        <v/>
      </c>
      <c r="G50" t="str">
        <f>_xlfn.XLOOKUP(A50,[4]NGDPRSAXDCSAQ_PCH!$A:$A,[5]NGDPRSAXDCSAQ_PCH!$B:$B,"")</f>
        <v/>
      </c>
    </row>
    <row r="51" spans="1:7" x14ac:dyDescent="0.2">
      <c r="A51" s="3">
        <v>33390</v>
      </c>
      <c r="B51" s="2">
        <v>18.167499999999997</v>
      </c>
      <c r="C51">
        <v>1.3800540018108591E-2</v>
      </c>
      <c r="D51" t="str">
        <f>_xlfn.XLOOKUP(A51,[1]Sheet2!$C:$C,[1]Sheet2!$B:$B,"")</f>
        <v/>
      </c>
      <c r="E51" t="str">
        <f>_xlfn.XLOOKUP(A51,[2]Sheet2!$C:$C,[2]Sheet2!$B:$B,"")</f>
        <v/>
      </c>
      <c r="F51" t="str">
        <f>_xlfn.XLOOKUP(A51,'[3]Monthly-Evolution-of-the-Purch'!$C:$C,'[3]Monthly-Evolution-of-the-Purch'!$B:$B,"")</f>
        <v/>
      </c>
      <c r="G51" t="str">
        <f>_xlfn.XLOOKUP(A51,[4]NGDPRSAXDCSAQ_PCH!$A:$A,[5]NGDPRSAXDCSAQ_PCH!$B:$B,"")</f>
        <v/>
      </c>
    </row>
    <row r="52" spans="1:7" x14ac:dyDescent="0.2">
      <c r="A52" s="3">
        <v>33420</v>
      </c>
      <c r="B52" s="2">
        <v>19.396956521739124</v>
      </c>
      <c r="C52">
        <v>1.1708131671924863E-2</v>
      </c>
      <c r="D52" t="str">
        <f>_xlfn.XLOOKUP(A52,[1]Sheet2!$C:$C,[1]Sheet2!$B:$B,"")</f>
        <v/>
      </c>
      <c r="E52" t="str">
        <f>_xlfn.XLOOKUP(A52,[2]Sheet2!$C:$C,[2]Sheet2!$B:$B,"")</f>
        <v/>
      </c>
      <c r="F52" t="str">
        <f>_xlfn.XLOOKUP(A52,'[3]Monthly-Evolution-of-the-Purch'!$C:$C,'[3]Monthly-Evolution-of-the-Purch'!$B:$B,"")</f>
        <v/>
      </c>
      <c r="G52" t="str">
        <f>_xlfn.XLOOKUP(A52,[4]NGDPRSAXDCSAQ_PCH!$A:$A,[5]NGDPRSAXDCSAQ_PCH!$B:$B,"")</f>
        <v/>
      </c>
    </row>
    <row r="53" spans="1:7" x14ac:dyDescent="0.2">
      <c r="A53" s="3">
        <v>33451</v>
      </c>
      <c r="B53" s="2">
        <v>19.772727272727273</v>
      </c>
      <c r="C53">
        <v>2.2551837474062426E-2</v>
      </c>
      <c r="D53" t="str">
        <f>_xlfn.XLOOKUP(A53,[1]Sheet2!$C:$C,[1]Sheet2!$B:$B,"")</f>
        <v/>
      </c>
      <c r="E53" t="str">
        <f>_xlfn.XLOOKUP(A53,[2]Sheet2!$C:$C,[2]Sheet2!$B:$B,"")</f>
        <v/>
      </c>
      <c r="F53" t="str">
        <f>_xlfn.XLOOKUP(A53,'[3]Monthly-Evolution-of-the-Purch'!$C:$C,'[3]Monthly-Evolution-of-the-Purch'!$B:$B,"")</f>
        <v/>
      </c>
      <c r="G53" t="str">
        <f>_xlfn.XLOOKUP(A53,[4]NGDPRSAXDCSAQ_PCH!$A:$A,[5]NGDPRSAXDCSAQ_PCH!$B:$B,"")</f>
        <v/>
      </c>
    </row>
    <row r="54" spans="1:7" x14ac:dyDescent="0.2">
      <c r="A54" s="3">
        <v>33482</v>
      </c>
      <c r="B54" s="2">
        <v>20.501904761904761</v>
      </c>
      <c r="C54">
        <v>1.0620323410556798E-2</v>
      </c>
      <c r="D54" t="str">
        <f>_xlfn.XLOOKUP(A54,[1]Sheet2!$C:$C,[1]Sheet2!$B:$B,"")</f>
        <v/>
      </c>
      <c r="E54" t="str">
        <f>_xlfn.XLOOKUP(A54,[2]Sheet2!$C:$C,[2]Sheet2!$B:$B,"")</f>
        <v/>
      </c>
      <c r="F54" t="str">
        <f>_xlfn.XLOOKUP(A54,'[3]Monthly-Evolution-of-the-Purch'!$C:$C,'[3]Monthly-Evolution-of-the-Purch'!$B:$B,"")</f>
        <v/>
      </c>
      <c r="G54" t="str">
        <f>_xlfn.XLOOKUP(A54,[4]NGDPRSAXDCSAQ_PCH!$A:$A,[5]NGDPRSAXDCSAQ_PCH!$B:$B,"")</f>
        <v/>
      </c>
    </row>
    <row r="55" spans="1:7" x14ac:dyDescent="0.2">
      <c r="A55" s="3">
        <v>33512</v>
      </c>
      <c r="B55" s="2">
        <v>22.206086956521741</v>
      </c>
      <c r="C55">
        <v>1.2286981389412756E-2</v>
      </c>
      <c r="D55" t="str">
        <f>_xlfn.XLOOKUP(A55,[1]Sheet2!$C:$C,[1]Sheet2!$B:$B,"")</f>
        <v/>
      </c>
      <c r="E55" t="str">
        <f>_xlfn.XLOOKUP(A55,[2]Sheet2!$C:$C,[2]Sheet2!$B:$B,"")</f>
        <v/>
      </c>
      <c r="F55" t="str">
        <f>_xlfn.XLOOKUP(A55,'[3]Monthly-Evolution-of-the-Purch'!$C:$C,'[3]Monthly-Evolution-of-the-Purch'!$B:$B,"")</f>
        <v/>
      </c>
      <c r="G55" t="str">
        <f>_xlfn.XLOOKUP(A55,[4]NGDPRSAXDCSAQ_PCH!$A:$A,[5]NGDPRSAXDCSAQ_PCH!$B:$B,"")</f>
        <v/>
      </c>
    </row>
    <row r="56" spans="1:7" x14ac:dyDescent="0.2">
      <c r="A56" s="3">
        <v>33543</v>
      </c>
      <c r="B56" s="2">
        <v>21.108571428571423</v>
      </c>
      <c r="C56">
        <v>1.622908021969878E-2</v>
      </c>
      <c r="D56" t="str">
        <f>_xlfn.XLOOKUP(A56,[1]Sheet2!$C:$C,[1]Sheet2!$B:$B,"")</f>
        <v/>
      </c>
      <c r="E56" t="str">
        <f>_xlfn.XLOOKUP(A56,[2]Sheet2!$C:$C,[2]Sheet2!$B:$B,"")</f>
        <v/>
      </c>
      <c r="F56" t="str">
        <f>_xlfn.XLOOKUP(A56,'[3]Monthly-Evolution-of-the-Purch'!$C:$C,'[3]Monthly-Evolution-of-the-Purch'!$B:$B,"")</f>
        <v/>
      </c>
      <c r="G56" t="str">
        <f>_xlfn.XLOOKUP(A56,[4]NGDPRSAXDCSAQ_PCH!$A:$A,[5]NGDPRSAXDCSAQ_PCH!$B:$B,"")</f>
        <v/>
      </c>
    </row>
    <row r="57" spans="1:7" x14ac:dyDescent="0.2">
      <c r="A57" s="3">
        <v>33573</v>
      </c>
      <c r="B57" s="2">
        <v>18.410952380952381</v>
      </c>
      <c r="C57" t="e">
        <v>#NUM!</v>
      </c>
      <c r="D57" t="str">
        <f>_xlfn.XLOOKUP(A57,[1]Sheet2!$C:$C,[1]Sheet2!$B:$B,"")</f>
        <v/>
      </c>
      <c r="E57" t="str">
        <f>_xlfn.XLOOKUP(A57,[2]Sheet2!$C:$C,[2]Sheet2!$B:$B,"")</f>
        <v/>
      </c>
      <c r="F57" t="str">
        <f>_xlfn.XLOOKUP(A57,'[3]Monthly-Evolution-of-the-Purch'!$C:$C,'[3]Monthly-Evolution-of-the-Purch'!$B:$B,"")</f>
        <v/>
      </c>
      <c r="G57" t="str">
        <f>_xlfn.XLOOKUP(A57,[4]NGDPRSAXDCSAQ_PCH!$A:$A,[5]NGDPRSAXDCSAQ_PCH!$B:$B,"")</f>
        <v/>
      </c>
    </row>
    <row r="58" spans="1:7" x14ac:dyDescent="0.2">
      <c r="A58" s="3">
        <v>33604</v>
      </c>
      <c r="B58" s="2">
        <v>18.16363636363636</v>
      </c>
      <c r="C58" t="e">
        <v>#DIV/0!</v>
      </c>
      <c r="D58" t="str">
        <f>_xlfn.XLOOKUP(A58,[1]Sheet2!$C:$C,[1]Sheet2!$B:$B,"")</f>
        <v/>
      </c>
      <c r="E58" t="str">
        <f>_xlfn.XLOOKUP(A58,[2]Sheet2!$C:$C,[2]Sheet2!$B:$B,"")</f>
        <v/>
      </c>
      <c r="F58" t="str">
        <f>_xlfn.XLOOKUP(A58,'[3]Monthly-Evolution-of-the-Purch'!$C:$C,'[3]Monthly-Evolution-of-the-Purch'!$B:$B,"")</f>
        <v/>
      </c>
      <c r="G58" t="str">
        <f>_xlfn.XLOOKUP(A58,[4]NGDPRSAXDCSAQ_PCH!$A:$A,[5]NGDPRSAXDCSAQ_PCH!$B:$B,"")</f>
        <v/>
      </c>
    </row>
    <row r="59" spans="1:7" x14ac:dyDescent="0.2">
      <c r="A59" s="3">
        <v>33635</v>
      </c>
      <c r="B59" s="2">
        <v>18.053500000000003</v>
      </c>
      <c r="C59">
        <v>1.8018846978726379E-2</v>
      </c>
      <c r="D59" t="str">
        <f>_xlfn.XLOOKUP(A59,[1]Sheet2!$C:$C,[1]Sheet2!$B:$B,"")</f>
        <v/>
      </c>
      <c r="E59" t="str">
        <f>_xlfn.XLOOKUP(A59,[2]Sheet2!$C:$C,[2]Sheet2!$B:$B,"")</f>
        <v/>
      </c>
      <c r="F59" t="str">
        <f>_xlfn.XLOOKUP(A59,'[3]Monthly-Evolution-of-the-Purch'!$C:$C,'[3]Monthly-Evolution-of-the-Purch'!$B:$B,"")</f>
        <v/>
      </c>
      <c r="G59" t="str">
        <f>_xlfn.XLOOKUP(A59,[4]NGDPRSAXDCSAQ_PCH!$A:$A,[5]NGDPRSAXDCSAQ_PCH!$B:$B,"")</f>
        <v/>
      </c>
    </row>
    <row r="60" spans="1:7" x14ac:dyDescent="0.2">
      <c r="A60" s="3">
        <v>33664</v>
      </c>
      <c r="B60" s="2">
        <v>17.630909090909089</v>
      </c>
      <c r="C60">
        <v>1.8068057200245093E-2</v>
      </c>
      <c r="D60" t="str">
        <f>_xlfn.XLOOKUP(A60,[1]Sheet2!$C:$C,[1]Sheet2!$B:$B,"")</f>
        <v/>
      </c>
      <c r="E60" t="str">
        <f>_xlfn.XLOOKUP(A60,[2]Sheet2!$C:$C,[2]Sheet2!$B:$B,"")</f>
        <v/>
      </c>
      <c r="F60" t="str">
        <f>_xlfn.XLOOKUP(A60,'[3]Monthly-Evolution-of-the-Purch'!$C:$C,'[3]Monthly-Evolution-of-the-Purch'!$B:$B,"")</f>
        <v/>
      </c>
      <c r="G60" t="str">
        <f>_xlfn.XLOOKUP(A60,[4]NGDPRSAXDCSAQ_PCH!$A:$A,[5]NGDPRSAXDCSAQ_PCH!$B:$B,"")</f>
        <v/>
      </c>
    </row>
    <row r="61" spans="1:7" x14ac:dyDescent="0.2">
      <c r="A61" s="3">
        <v>33695</v>
      </c>
      <c r="B61" s="2">
        <v>18.919047619047618</v>
      </c>
      <c r="C61" t="e">
        <v>#NUM!</v>
      </c>
      <c r="D61" t="str">
        <f>_xlfn.XLOOKUP(A61,[1]Sheet2!$C:$C,[1]Sheet2!$B:$B,"")</f>
        <v/>
      </c>
      <c r="E61" t="str">
        <f>_xlfn.XLOOKUP(A61,[2]Sheet2!$C:$C,[2]Sheet2!$B:$B,"")</f>
        <v/>
      </c>
      <c r="F61" t="str">
        <f>_xlfn.XLOOKUP(A61,'[3]Monthly-Evolution-of-the-Purch'!$C:$C,'[3]Monthly-Evolution-of-the-Purch'!$B:$B,"")</f>
        <v/>
      </c>
      <c r="G61" t="str">
        <f>_xlfn.XLOOKUP(A61,[4]NGDPRSAXDCSAQ_PCH!$A:$A,[5]NGDPRSAXDCSAQ_PCH!$B:$B,"")</f>
        <v/>
      </c>
    </row>
    <row r="62" spans="1:7" x14ac:dyDescent="0.2">
      <c r="A62" s="3">
        <v>33725</v>
      </c>
      <c r="B62" s="2">
        <v>19.888500000000001</v>
      </c>
      <c r="C62" t="e">
        <v>#NUM!</v>
      </c>
      <c r="D62" t="str">
        <f>_xlfn.XLOOKUP(A62,[1]Sheet2!$C:$C,[1]Sheet2!$B:$B,"")</f>
        <v/>
      </c>
      <c r="E62" t="str">
        <f>_xlfn.XLOOKUP(A62,[2]Sheet2!$C:$C,[2]Sheet2!$B:$B,"")</f>
        <v/>
      </c>
      <c r="F62" t="str">
        <f>_xlfn.XLOOKUP(A62,'[3]Monthly-Evolution-of-the-Purch'!$C:$C,'[3]Monthly-Evolution-of-the-Purch'!$B:$B,"")</f>
        <v/>
      </c>
      <c r="G62" t="str">
        <f>_xlfn.XLOOKUP(A62,[4]NGDPRSAXDCSAQ_PCH!$A:$A,[5]NGDPRSAXDCSAQ_PCH!$B:$B,"")</f>
        <v/>
      </c>
    </row>
    <row r="63" spans="1:7" x14ac:dyDescent="0.2">
      <c r="A63" s="3">
        <v>33756</v>
      </c>
      <c r="B63" s="2">
        <v>21.15818181818182</v>
      </c>
      <c r="C63">
        <v>1.169263386150368E-2</v>
      </c>
      <c r="D63" t="str">
        <f>_xlfn.XLOOKUP(A63,[1]Sheet2!$C:$C,[1]Sheet2!$B:$B,"")</f>
        <v/>
      </c>
      <c r="E63" t="str">
        <f>_xlfn.XLOOKUP(A63,[2]Sheet2!$C:$C,[2]Sheet2!$B:$B,"")</f>
        <v/>
      </c>
      <c r="F63" t="str">
        <f>_xlfn.XLOOKUP(A63,'[3]Monthly-Evolution-of-the-Purch'!$C:$C,'[3]Monthly-Evolution-of-the-Purch'!$B:$B,"")</f>
        <v/>
      </c>
      <c r="G63" t="str">
        <f>_xlfn.XLOOKUP(A63,[4]NGDPRSAXDCSAQ_PCH!$A:$A,[5]NGDPRSAXDCSAQ_PCH!$B:$B,"")</f>
        <v/>
      </c>
    </row>
    <row r="64" spans="1:7" x14ac:dyDescent="0.2">
      <c r="A64" s="3">
        <v>33786</v>
      </c>
      <c r="B64" s="2">
        <v>20.236521739130438</v>
      </c>
      <c r="C64">
        <v>1.1191286992494264E-2</v>
      </c>
      <c r="D64" t="str">
        <f>_xlfn.XLOOKUP(A64,[1]Sheet2!$C:$C,[1]Sheet2!$B:$B,"")</f>
        <v/>
      </c>
      <c r="E64" t="str">
        <f>_xlfn.XLOOKUP(A64,[2]Sheet2!$C:$C,[2]Sheet2!$B:$B,"")</f>
        <v/>
      </c>
      <c r="F64" t="str">
        <f>_xlfn.XLOOKUP(A64,'[3]Monthly-Evolution-of-the-Purch'!$C:$C,'[3]Monthly-Evolution-of-the-Purch'!$B:$B,"")</f>
        <v/>
      </c>
      <c r="G64" t="str">
        <f>_xlfn.XLOOKUP(A64,[4]NGDPRSAXDCSAQ_PCH!$A:$A,[5]NGDPRSAXDCSAQ_PCH!$B:$B,"")</f>
        <v/>
      </c>
    </row>
    <row r="65" spans="1:7" x14ac:dyDescent="0.2">
      <c r="A65" s="3">
        <v>33817</v>
      </c>
      <c r="B65" s="2">
        <v>19.738095238095234</v>
      </c>
      <c r="C65">
        <v>8.0769461407799135E-3</v>
      </c>
      <c r="D65" t="str">
        <f>_xlfn.XLOOKUP(A65,[1]Sheet2!$C:$C,[1]Sheet2!$B:$B,"")</f>
        <v/>
      </c>
      <c r="E65" t="str">
        <f>_xlfn.XLOOKUP(A65,[2]Sheet2!$C:$C,[2]Sheet2!$B:$B,"")</f>
        <v/>
      </c>
      <c r="F65" t="str">
        <f>_xlfn.XLOOKUP(A65,'[3]Monthly-Evolution-of-the-Purch'!$C:$C,'[3]Monthly-Evolution-of-the-Purch'!$B:$B,"")</f>
        <v/>
      </c>
      <c r="G65" t="str">
        <f>_xlfn.XLOOKUP(A65,[4]NGDPRSAXDCSAQ_PCH!$A:$A,[5]NGDPRSAXDCSAQ_PCH!$B:$B,"")</f>
        <v/>
      </c>
    </row>
    <row r="66" spans="1:7" x14ac:dyDescent="0.2">
      <c r="A66" s="3">
        <v>33848</v>
      </c>
      <c r="B66" s="2">
        <v>20.269999999999996</v>
      </c>
      <c r="C66">
        <v>6.3527918399109082E-3</v>
      </c>
      <c r="D66" t="str">
        <f>_xlfn.XLOOKUP(A66,[1]Sheet2!$C:$C,[1]Sheet2!$B:$B,"")</f>
        <v/>
      </c>
      <c r="E66" t="str">
        <f>_xlfn.XLOOKUP(A66,[2]Sheet2!$C:$C,[2]Sheet2!$B:$B,"")</f>
        <v/>
      </c>
      <c r="F66" t="str">
        <f>_xlfn.XLOOKUP(A66,'[3]Monthly-Evolution-of-the-Purch'!$C:$C,'[3]Monthly-Evolution-of-the-Purch'!$B:$B,"")</f>
        <v/>
      </c>
      <c r="G66" t="str">
        <f>_xlfn.XLOOKUP(A66,[4]NGDPRSAXDCSAQ_PCH!$A:$A,[5]NGDPRSAXDCSAQ_PCH!$B:$B,"")</f>
        <v/>
      </c>
    </row>
    <row r="67" spans="1:7" x14ac:dyDescent="0.2">
      <c r="A67" s="3">
        <v>33878</v>
      </c>
      <c r="B67" s="2">
        <v>20.261818181818175</v>
      </c>
      <c r="C67">
        <v>8.4319745081316774E-3</v>
      </c>
      <c r="D67" t="str">
        <f>_xlfn.XLOOKUP(A67,[1]Sheet2!$C:$C,[1]Sheet2!$B:$B,"")</f>
        <v/>
      </c>
      <c r="E67" t="str">
        <f>_xlfn.XLOOKUP(A67,[2]Sheet2!$C:$C,[2]Sheet2!$B:$B,"")</f>
        <v/>
      </c>
      <c r="F67" t="str">
        <f>_xlfn.XLOOKUP(A67,'[3]Monthly-Evolution-of-the-Purch'!$C:$C,'[3]Monthly-Evolution-of-the-Purch'!$B:$B,"")</f>
        <v/>
      </c>
      <c r="G67" t="str">
        <f>_xlfn.XLOOKUP(A67,[4]NGDPRSAXDCSAQ_PCH!$A:$A,[5]NGDPRSAXDCSAQ_PCH!$B:$B,"")</f>
        <v/>
      </c>
    </row>
    <row r="68" spans="1:7" x14ac:dyDescent="0.2">
      <c r="A68" s="3">
        <v>33909</v>
      </c>
      <c r="B68" s="2">
        <v>19.214285714285715</v>
      </c>
      <c r="C68">
        <v>1.2908523846035672E-2</v>
      </c>
      <c r="D68" t="str">
        <f>_xlfn.XLOOKUP(A68,[1]Sheet2!$C:$C,[1]Sheet2!$B:$B,"")</f>
        <v/>
      </c>
      <c r="E68" t="str">
        <f>_xlfn.XLOOKUP(A68,[2]Sheet2!$C:$C,[2]Sheet2!$B:$B,"")</f>
        <v/>
      </c>
      <c r="F68" t="str">
        <f>_xlfn.XLOOKUP(A68,'[3]Monthly-Evolution-of-the-Purch'!$C:$C,'[3]Monthly-Evolution-of-the-Purch'!$B:$B,"")</f>
        <v/>
      </c>
      <c r="G68" t="str">
        <f>_xlfn.XLOOKUP(A68,[4]NGDPRSAXDCSAQ_PCH!$A:$A,[5]NGDPRSAXDCSAQ_PCH!$B:$B,"")</f>
        <v/>
      </c>
    </row>
    <row r="69" spans="1:7" x14ac:dyDescent="0.2">
      <c r="A69" s="3">
        <v>33939</v>
      </c>
      <c r="B69" s="2">
        <v>18.139523809523812</v>
      </c>
      <c r="C69" t="e">
        <v>#NUM!</v>
      </c>
      <c r="D69" t="str">
        <f>_xlfn.XLOOKUP(A69,[1]Sheet2!$C:$C,[1]Sheet2!$B:$B,"")</f>
        <v/>
      </c>
      <c r="E69" t="str">
        <f>_xlfn.XLOOKUP(A69,[2]Sheet2!$C:$C,[2]Sheet2!$B:$B,"")</f>
        <v/>
      </c>
      <c r="F69" t="str">
        <f>_xlfn.XLOOKUP(A69,'[3]Monthly-Evolution-of-the-Purch'!$C:$C,'[3]Monthly-Evolution-of-the-Purch'!$B:$B,"")</f>
        <v/>
      </c>
      <c r="G69" t="str">
        <f>_xlfn.XLOOKUP(A69,[4]NGDPRSAXDCSAQ_PCH!$A:$A,[5]NGDPRSAXDCSAQ_PCH!$B:$B,"")</f>
        <v/>
      </c>
    </row>
    <row r="70" spans="1:7" x14ac:dyDescent="0.2">
      <c r="A70" s="3">
        <v>33970</v>
      </c>
      <c r="B70" s="2">
        <v>17.385999999999999</v>
      </c>
      <c r="C70" t="e">
        <v>#DIV/0!</v>
      </c>
      <c r="D70" t="str">
        <f>_xlfn.XLOOKUP(A70,[1]Sheet2!$C:$C,[1]Sheet2!$B:$B,"")</f>
        <v/>
      </c>
      <c r="E70" t="str">
        <f>_xlfn.XLOOKUP(A70,[2]Sheet2!$C:$C,[2]Sheet2!$B:$B,"")</f>
        <v/>
      </c>
      <c r="F70" t="str">
        <f>_xlfn.XLOOKUP(A70,'[3]Monthly-Evolution-of-the-Purch'!$C:$C,'[3]Monthly-Evolution-of-the-Purch'!$B:$B,"")</f>
        <v/>
      </c>
      <c r="G70" t="str">
        <f>_xlfn.XLOOKUP(A70,[4]NGDPRSAXDCSAQ_PCH!$A:$A,[5]NGDPRSAXDCSAQ_PCH!$B:$B,"")</f>
        <v/>
      </c>
    </row>
    <row r="71" spans="1:7" x14ac:dyDescent="0.2">
      <c r="A71" s="3">
        <v>34001</v>
      </c>
      <c r="B71" s="2">
        <v>18.466315789473683</v>
      </c>
      <c r="C71" t="e">
        <v>#NUM!</v>
      </c>
      <c r="D71" t="str">
        <f>_xlfn.XLOOKUP(A71,[1]Sheet2!$C:$C,[1]Sheet2!$B:$B,"")</f>
        <v/>
      </c>
      <c r="E71" t="str">
        <f>_xlfn.XLOOKUP(A71,[2]Sheet2!$C:$C,[2]Sheet2!$B:$B,"")</f>
        <v/>
      </c>
      <c r="F71" t="str">
        <f>_xlfn.XLOOKUP(A71,'[3]Monthly-Evolution-of-the-Purch'!$C:$C,'[3]Monthly-Evolution-of-the-Purch'!$B:$B,"")</f>
        <v/>
      </c>
      <c r="G71" t="str">
        <f>_xlfn.XLOOKUP(A71,[4]NGDPRSAXDCSAQ_PCH!$A:$A,[5]NGDPRSAXDCSAQ_PCH!$B:$B,"")</f>
        <v/>
      </c>
    </row>
    <row r="72" spans="1:7" x14ac:dyDescent="0.2">
      <c r="A72" s="3">
        <v>34029</v>
      </c>
      <c r="B72" s="2">
        <v>18.785217391304347</v>
      </c>
      <c r="C72">
        <v>1.2227291264173438E-2</v>
      </c>
      <c r="D72" t="str">
        <f>_xlfn.XLOOKUP(A72,[1]Sheet2!$C:$C,[1]Sheet2!$B:$B,"")</f>
        <v/>
      </c>
      <c r="E72" t="str">
        <f>_xlfn.XLOOKUP(A72,[2]Sheet2!$C:$C,[2]Sheet2!$B:$B,"")</f>
        <v/>
      </c>
      <c r="F72" t="str">
        <f>_xlfn.XLOOKUP(A72,'[3]Monthly-Evolution-of-the-Purch'!$C:$C,'[3]Monthly-Evolution-of-the-Purch'!$B:$B,"")</f>
        <v/>
      </c>
      <c r="G72" t="str">
        <f>_xlfn.XLOOKUP(A72,[4]NGDPRSAXDCSAQ_PCH!$A:$A,[5]NGDPRSAXDCSAQ_PCH!$B:$B,"")</f>
        <v/>
      </c>
    </row>
    <row r="73" spans="1:7" x14ac:dyDescent="0.2">
      <c r="A73" s="3">
        <v>34060</v>
      </c>
      <c r="B73" s="2">
        <v>18.674500000000002</v>
      </c>
      <c r="C73" t="e">
        <v>#NUM!</v>
      </c>
      <c r="D73" t="str">
        <f>_xlfn.XLOOKUP(A73,[1]Sheet2!$C:$C,[1]Sheet2!$B:$B,"")</f>
        <v/>
      </c>
      <c r="E73" t="str">
        <f>_xlfn.XLOOKUP(A73,[2]Sheet2!$C:$C,[2]Sheet2!$B:$B,"")</f>
        <v/>
      </c>
      <c r="F73" t="str">
        <f>_xlfn.XLOOKUP(A73,'[3]Monthly-Evolution-of-the-Purch'!$C:$C,'[3]Monthly-Evolution-of-the-Purch'!$B:$B,"")</f>
        <v/>
      </c>
      <c r="G73" t="str">
        <f>_xlfn.XLOOKUP(A73,[4]NGDPRSAXDCSAQ_PCH!$A:$A,[5]NGDPRSAXDCSAQ_PCH!$B:$B,"")</f>
        <v/>
      </c>
    </row>
    <row r="74" spans="1:7" x14ac:dyDescent="0.2">
      <c r="A74" s="3">
        <v>34090</v>
      </c>
      <c r="B74" s="2">
        <v>18.507894736842101</v>
      </c>
      <c r="C74" t="e">
        <v>#DIV/0!</v>
      </c>
      <c r="D74" t="str">
        <f>_xlfn.XLOOKUP(A74,[1]Sheet2!$C:$C,[1]Sheet2!$B:$B,"")</f>
        <v/>
      </c>
      <c r="E74" t="str">
        <f>_xlfn.XLOOKUP(A74,[2]Sheet2!$C:$C,[2]Sheet2!$B:$B,"")</f>
        <v/>
      </c>
      <c r="F74" t="str">
        <f>_xlfn.XLOOKUP(A74,'[3]Monthly-Evolution-of-the-Purch'!$C:$C,'[3]Monthly-Evolution-of-the-Purch'!$B:$B,"")</f>
        <v/>
      </c>
      <c r="G74" t="str">
        <f>_xlfn.XLOOKUP(A74,[4]NGDPRSAXDCSAQ_PCH!$A:$A,[5]NGDPRSAXDCSAQ_PCH!$B:$B,"")</f>
        <v/>
      </c>
    </row>
    <row r="75" spans="1:7" x14ac:dyDescent="0.2">
      <c r="A75" s="3">
        <v>34121</v>
      </c>
      <c r="B75" s="2">
        <v>17.652727272727276</v>
      </c>
      <c r="C75">
        <v>1.123098240095846E-2</v>
      </c>
      <c r="D75" t="str">
        <f>_xlfn.XLOOKUP(A75,[1]Sheet2!$C:$C,[1]Sheet2!$B:$B,"")</f>
        <v/>
      </c>
      <c r="E75" t="str">
        <f>_xlfn.XLOOKUP(A75,[2]Sheet2!$C:$C,[2]Sheet2!$B:$B,"")</f>
        <v/>
      </c>
      <c r="F75" t="str">
        <f>_xlfn.XLOOKUP(A75,'[3]Monthly-Evolution-of-the-Purch'!$C:$C,'[3]Monthly-Evolution-of-the-Purch'!$B:$B,"")</f>
        <v/>
      </c>
      <c r="G75" t="str">
        <f>_xlfn.XLOOKUP(A75,[4]NGDPRSAXDCSAQ_PCH!$A:$A,[5]NGDPRSAXDCSAQ_PCH!$B:$B,"")</f>
        <v/>
      </c>
    </row>
    <row r="76" spans="1:7" x14ac:dyDescent="0.2">
      <c r="A76" s="3">
        <v>34151</v>
      </c>
      <c r="B76" s="2">
        <v>16.775454545454547</v>
      </c>
      <c r="C76">
        <v>1.2553099480982436E-2</v>
      </c>
      <c r="D76" t="str">
        <f>_xlfn.XLOOKUP(A76,[1]Sheet2!$C:$C,[1]Sheet2!$B:$B,"")</f>
        <v/>
      </c>
      <c r="E76" t="str">
        <f>_xlfn.XLOOKUP(A76,[2]Sheet2!$C:$C,[2]Sheet2!$B:$B,"")</f>
        <v/>
      </c>
      <c r="F76" t="str">
        <f>_xlfn.XLOOKUP(A76,'[3]Monthly-Evolution-of-the-Purch'!$C:$C,'[3]Monthly-Evolution-of-the-Purch'!$B:$B,"")</f>
        <v/>
      </c>
      <c r="G76" t="str">
        <f>_xlfn.XLOOKUP(A76,[4]NGDPRSAXDCSAQ_PCH!$A:$A,[5]NGDPRSAXDCSAQ_PCH!$B:$B,"")</f>
        <v/>
      </c>
    </row>
    <row r="77" spans="1:7" x14ac:dyDescent="0.2">
      <c r="A77" s="3">
        <v>34182</v>
      </c>
      <c r="B77" s="2">
        <v>16.69619047619048</v>
      </c>
      <c r="C77" t="e">
        <v>#NUM!</v>
      </c>
      <c r="D77" t="str">
        <f>_xlfn.XLOOKUP(A77,[1]Sheet2!$C:$C,[1]Sheet2!$B:$B,"")</f>
        <v/>
      </c>
      <c r="E77" t="str">
        <f>_xlfn.XLOOKUP(A77,[2]Sheet2!$C:$C,[2]Sheet2!$B:$B,"")</f>
        <v/>
      </c>
      <c r="F77" t="str">
        <f>_xlfn.XLOOKUP(A77,'[3]Monthly-Evolution-of-the-Purch'!$C:$C,'[3]Monthly-Evolution-of-the-Purch'!$B:$B,"")</f>
        <v/>
      </c>
      <c r="G77" t="str">
        <f>_xlfn.XLOOKUP(A77,[4]NGDPRSAXDCSAQ_PCH!$A:$A,[5]NGDPRSAXDCSAQ_PCH!$B:$B,"")</f>
        <v/>
      </c>
    </row>
    <row r="78" spans="1:7" x14ac:dyDescent="0.2">
      <c r="A78" s="3">
        <v>34213</v>
      </c>
      <c r="B78" s="2">
        <v>16.011818181818185</v>
      </c>
      <c r="C78">
        <v>1.5587481522995064E-2</v>
      </c>
      <c r="D78" t="str">
        <f>_xlfn.XLOOKUP(A78,[1]Sheet2!$C:$C,[1]Sheet2!$B:$B,"")</f>
        <v/>
      </c>
      <c r="E78" t="str">
        <f>_xlfn.XLOOKUP(A78,[2]Sheet2!$C:$C,[2]Sheet2!$B:$B,"")</f>
        <v/>
      </c>
      <c r="F78" t="str">
        <f>_xlfn.XLOOKUP(A78,'[3]Monthly-Evolution-of-the-Purch'!$C:$C,'[3]Monthly-Evolution-of-the-Purch'!$B:$B,"")</f>
        <v/>
      </c>
      <c r="G78" t="str">
        <f>_xlfn.XLOOKUP(A78,[4]NGDPRSAXDCSAQ_PCH!$A:$A,[5]NGDPRSAXDCSAQ_PCH!$B:$B,"")</f>
        <v/>
      </c>
    </row>
    <row r="79" spans="1:7" x14ac:dyDescent="0.2">
      <c r="A79" s="3">
        <v>34243</v>
      </c>
      <c r="B79" s="2">
        <v>16.606666666666666</v>
      </c>
      <c r="C79">
        <v>1.2905019210307678E-2</v>
      </c>
      <c r="D79" t="str">
        <f>_xlfn.XLOOKUP(A79,[1]Sheet2!$C:$C,[1]Sheet2!$B:$B,"")</f>
        <v/>
      </c>
      <c r="E79" t="str">
        <f>_xlfn.XLOOKUP(A79,[2]Sheet2!$C:$C,[2]Sheet2!$B:$B,"")</f>
        <v/>
      </c>
      <c r="F79" t="str">
        <f>_xlfn.XLOOKUP(A79,'[3]Monthly-Evolution-of-the-Purch'!$C:$C,'[3]Monthly-Evolution-of-the-Purch'!$B:$B,"")</f>
        <v/>
      </c>
      <c r="G79" t="str">
        <f>_xlfn.XLOOKUP(A79,[4]NGDPRSAXDCSAQ_PCH!$A:$A,[5]NGDPRSAXDCSAQ_PCH!$B:$B,"")</f>
        <v/>
      </c>
    </row>
    <row r="80" spans="1:7" x14ac:dyDescent="0.2">
      <c r="A80" s="3">
        <v>34274</v>
      </c>
      <c r="B80" s="2">
        <v>15.196363636363639</v>
      </c>
      <c r="C80">
        <v>1.5497714219192464E-2</v>
      </c>
      <c r="D80" t="str">
        <f>_xlfn.XLOOKUP(A80,[1]Sheet2!$C:$C,[1]Sheet2!$B:$B,"")</f>
        <v/>
      </c>
      <c r="E80" t="str">
        <f>_xlfn.XLOOKUP(A80,[2]Sheet2!$C:$C,[2]Sheet2!$B:$B,"")</f>
        <v/>
      </c>
      <c r="F80" t="str">
        <f>_xlfn.XLOOKUP(A80,'[3]Monthly-Evolution-of-the-Purch'!$C:$C,'[3]Monthly-Evolution-of-the-Purch'!$B:$B,"")</f>
        <v/>
      </c>
      <c r="G80" t="str">
        <f>_xlfn.XLOOKUP(A80,[4]NGDPRSAXDCSAQ_PCH!$A:$A,[5]NGDPRSAXDCSAQ_PCH!$B:$B,"")</f>
        <v/>
      </c>
    </row>
    <row r="81" spans="1:7" x14ac:dyDescent="0.2">
      <c r="A81" s="3">
        <v>34304</v>
      </c>
      <c r="B81" s="2">
        <v>13.725714285714286</v>
      </c>
      <c r="C81" t="e">
        <v>#NUM!</v>
      </c>
      <c r="D81" t="str">
        <f>_xlfn.XLOOKUP(A81,[1]Sheet2!$C:$C,[1]Sheet2!$B:$B,"")</f>
        <v/>
      </c>
      <c r="E81" t="str">
        <f>_xlfn.XLOOKUP(A81,[2]Sheet2!$C:$C,[2]Sheet2!$B:$B,"")</f>
        <v/>
      </c>
      <c r="F81" t="str">
        <f>_xlfn.XLOOKUP(A81,'[3]Monthly-Evolution-of-the-Purch'!$C:$C,'[3]Monthly-Evolution-of-the-Purch'!$B:$B,"")</f>
        <v/>
      </c>
      <c r="G81" t="str">
        <f>_xlfn.XLOOKUP(A81,[4]NGDPRSAXDCSAQ_PCH!$A:$A,[5]NGDPRSAXDCSAQ_PCH!$B:$B,"")</f>
        <v/>
      </c>
    </row>
    <row r="82" spans="1:7" x14ac:dyDescent="0.2">
      <c r="A82" s="3">
        <v>34335</v>
      </c>
      <c r="B82" s="2">
        <v>14.291499999999996</v>
      </c>
      <c r="C82" t="e">
        <v>#DIV/0!</v>
      </c>
      <c r="D82" t="str">
        <f>_xlfn.XLOOKUP(A82,[1]Sheet2!$C:$C,[1]Sheet2!$B:$B,"")</f>
        <v/>
      </c>
      <c r="E82" t="str">
        <f>_xlfn.XLOOKUP(A82,[2]Sheet2!$C:$C,[2]Sheet2!$B:$B,"")</f>
        <v/>
      </c>
      <c r="F82" t="str">
        <f>_xlfn.XLOOKUP(A82,'[3]Monthly-Evolution-of-the-Purch'!$C:$C,'[3]Monthly-Evolution-of-the-Purch'!$B:$B,"")</f>
        <v/>
      </c>
      <c r="G82" t="str">
        <f>_xlfn.XLOOKUP(A82,[4]NGDPRSAXDCSAQ_PCH!$A:$A,[5]NGDPRSAXDCSAQ_PCH!$B:$B,"")</f>
        <v/>
      </c>
    </row>
    <row r="83" spans="1:7" x14ac:dyDescent="0.2">
      <c r="A83" s="3">
        <v>34366</v>
      </c>
      <c r="B83" s="2">
        <v>13.801999999999998</v>
      </c>
      <c r="C83">
        <v>1.9650892591328534E-2</v>
      </c>
      <c r="D83" t="str">
        <f>_xlfn.XLOOKUP(A83,[1]Sheet2!$C:$C,[1]Sheet2!$B:$B,"")</f>
        <v/>
      </c>
      <c r="E83" t="str">
        <f>_xlfn.XLOOKUP(A83,[2]Sheet2!$C:$C,[2]Sheet2!$B:$B,"")</f>
        <v/>
      </c>
      <c r="F83" t="str">
        <f>_xlfn.XLOOKUP(A83,'[3]Monthly-Evolution-of-the-Purch'!$C:$C,'[3]Monthly-Evolution-of-the-Purch'!$B:$B,"")</f>
        <v/>
      </c>
      <c r="G83" t="str">
        <f>_xlfn.XLOOKUP(A83,[4]NGDPRSAXDCSAQ_PCH!$A:$A,[5]NGDPRSAXDCSAQ_PCH!$B:$B,"")</f>
        <v/>
      </c>
    </row>
    <row r="84" spans="1:7" x14ac:dyDescent="0.2">
      <c r="A84" s="3">
        <v>34394</v>
      </c>
      <c r="B84" s="2">
        <v>13.822608695652177</v>
      </c>
      <c r="C84" t="e">
        <v>#NUM!</v>
      </c>
      <c r="D84" t="str">
        <f>_xlfn.XLOOKUP(A84,[1]Sheet2!$C:$C,[1]Sheet2!$B:$B,"")</f>
        <v/>
      </c>
      <c r="E84" t="str">
        <f>_xlfn.XLOOKUP(A84,[2]Sheet2!$C:$C,[2]Sheet2!$B:$B,"")</f>
        <v/>
      </c>
      <c r="F84" t="str">
        <f>_xlfn.XLOOKUP(A84,'[3]Monthly-Evolution-of-the-Purch'!$C:$C,'[3]Monthly-Evolution-of-the-Purch'!$B:$B,"")</f>
        <v/>
      </c>
      <c r="G84" t="str">
        <f>_xlfn.XLOOKUP(A84,[4]NGDPRSAXDCSAQ_PCH!$A:$A,[5]NGDPRSAXDCSAQ_PCH!$B:$B,"")</f>
        <v/>
      </c>
    </row>
    <row r="85" spans="1:7" x14ac:dyDescent="0.2">
      <c r="A85" s="3">
        <v>34425</v>
      </c>
      <c r="B85" s="2">
        <v>15.231578947368419</v>
      </c>
      <c r="C85" t="e">
        <v>#DIV/0!</v>
      </c>
      <c r="D85" t="str">
        <f>_xlfn.XLOOKUP(A85,[1]Sheet2!$C:$C,[1]Sheet2!$B:$B,"")</f>
        <v/>
      </c>
      <c r="E85" t="str">
        <f>_xlfn.XLOOKUP(A85,[2]Sheet2!$C:$C,[2]Sheet2!$B:$B,"")</f>
        <v/>
      </c>
      <c r="F85" t="str">
        <f>_xlfn.XLOOKUP(A85,'[3]Monthly-Evolution-of-the-Purch'!$C:$C,'[3]Monthly-Evolution-of-the-Purch'!$B:$B,"")</f>
        <v/>
      </c>
      <c r="G85" t="str">
        <f>_xlfn.XLOOKUP(A85,[4]NGDPRSAXDCSAQ_PCH!$A:$A,[5]NGDPRSAXDCSAQ_PCH!$B:$B,"")</f>
        <v/>
      </c>
    </row>
    <row r="86" spans="1:7" x14ac:dyDescent="0.2">
      <c r="A86" s="3">
        <v>34455</v>
      </c>
      <c r="B86" s="2">
        <v>16.187999999999995</v>
      </c>
      <c r="C86" t="e">
        <v>#DIV/0!</v>
      </c>
      <c r="D86" t="str">
        <f>_xlfn.XLOOKUP(A86,[1]Sheet2!$C:$C,[1]Sheet2!$B:$B,"")</f>
        <v/>
      </c>
      <c r="E86" t="str">
        <f>_xlfn.XLOOKUP(A86,[2]Sheet2!$C:$C,[2]Sheet2!$B:$B,"")</f>
        <v/>
      </c>
      <c r="F86" t="str">
        <f>_xlfn.XLOOKUP(A86,'[3]Monthly-Evolution-of-the-Purch'!$C:$C,'[3]Monthly-Evolution-of-the-Purch'!$B:$B,"")</f>
        <v/>
      </c>
      <c r="G86" t="str">
        <f>_xlfn.XLOOKUP(A86,[4]NGDPRSAXDCSAQ_PCH!$A:$A,[5]NGDPRSAXDCSAQ_PCH!$B:$B,"")</f>
        <v/>
      </c>
    </row>
    <row r="87" spans="1:7" x14ac:dyDescent="0.2">
      <c r="A87" s="3">
        <v>34486</v>
      </c>
      <c r="B87" s="2">
        <v>16.763181818181817</v>
      </c>
      <c r="C87">
        <v>1.4287131700240199E-2</v>
      </c>
      <c r="D87" t="str">
        <f>_xlfn.XLOOKUP(A87,[1]Sheet2!$C:$C,[1]Sheet2!$B:$B,"")</f>
        <v/>
      </c>
      <c r="E87" t="str">
        <f>_xlfn.XLOOKUP(A87,[2]Sheet2!$C:$C,[2]Sheet2!$B:$B,"")</f>
        <v/>
      </c>
      <c r="F87" t="str">
        <f>_xlfn.XLOOKUP(A87,'[3]Monthly-Evolution-of-the-Purch'!$C:$C,'[3]Monthly-Evolution-of-the-Purch'!$B:$B,"")</f>
        <v/>
      </c>
      <c r="G87" t="str">
        <f>_xlfn.XLOOKUP(A87,[4]NGDPRSAXDCSAQ_PCH!$A:$A,[5]NGDPRSAXDCSAQ_PCH!$B:$B,"")</f>
        <v/>
      </c>
    </row>
    <row r="88" spans="1:7" x14ac:dyDescent="0.2">
      <c r="A88" s="3">
        <v>34516</v>
      </c>
      <c r="B88" s="2">
        <v>17.599523809523809</v>
      </c>
      <c r="C88">
        <v>1.9439151642981413E-2</v>
      </c>
      <c r="D88" t="str">
        <f>_xlfn.XLOOKUP(A88,[1]Sheet2!$C:$C,[1]Sheet2!$B:$B,"")</f>
        <v/>
      </c>
      <c r="E88" t="str">
        <f>_xlfn.XLOOKUP(A88,[2]Sheet2!$C:$C,[2]Sheet2!$B:$B,"")</f>
        <v/>
      </c>
      <c r="F88" t="str">
        <f>_xlfn.XLOOKUP(A88,'[3]Monthly-Evolution-of-the-Purch'!$C:$C,'[3]Monthly-Evolution-of-the-Purch'!$B:$B,"")</f>
        <v/>
      </c>
      <c r="G88" t="str">
        <f>_xlfn.XLOOKUP(A88,[4]NGDPRSAXDCSAQ_PCH!$A:$A,[5]NGDPRSAXDCSAQ_PCH!$B:$B,"")</f>
        <v/>
      </c>
    </row>
    <row r="89" spans="1:7" x14ac:dyDescent="0.2">
      <c r="A89" s="3">
        <v>34547</v>
      </c>
      <c r="B89" s="2">
        <v>16.892727272727278</v>
      </c>
      <c r="C89" t="e">
        <v>#NUM!</v>
      </c>
      <c r="D89" t="str">
        <f>_xlfn.XLOOKUP(A89,[1]Sheet2!$C:$C,[1]Sheet2!$B:$B,"")</f>
        <v/>
      </c>
      <c r="E89" t="str">
        <f>_xlfn.XLOOKUP(A89,[2]Sheet2!$C:$C,[2]Sheet2!$B:$B,"")</f>
        <v/>
      </c>
      <c r="F89" t="str">
        <f>_xlfn.XLOOKUP(A89,'[3]Monthly-Evolution-of-the-Purch'!$C:$C,'[3]Monthly-Evolution-of-the-Purch'!$B:$B,"")</f>
        <v/>
      </c>
      <c r="G89" t="str">
        <f>_xlfn.XLOOKUP(A89,[4]NGDPRSAXDCSAQ_PCH!$A:$A,[5]NGDPRSAXDCSAQ_PCH!$B:$B,"")</f>
        <v/>
      </c>
    </row>
    <row r="90" spans="1:7" x14ac:dyDescent="0.2">
      <c r="A90" s="3">
        <v>34578</v>
      </c>
      <c r="B90" s="2">
        <v>15.895000000000005</v>
      </c>
      <c r="C90">
        <v>1.3162086689483272E-2</v>
      </c>
      <c r="D90" t="str">
        <f>_xlfn.XLOOKUP(A90,[1]Sheet2!$C:$C,[1]Sheet2!$B:$B,"")</f>
        <v/>
      </c>
      <c r="E90" t="str">
        <f>_xlfn.XLOOKUP(A90,[2]Sheet2!$C:$C,[2]Sheet2!$B:$B,"")</f>
        <v/>
      </c>
      <c r="F90" t="str">
        <f>_xlfn.XLOOKUP(A90,'[3]Monthly-Evolution-of-the-Purch'!$C:$C,'[3]Monthly-Evolution-of-the-Purch'!$B:$B,"")</f>
        <v/>
      </c>
      <c r="G90" t="str">
        <f>_xlfn.XLOOKUP(A90,[4]NGDPRSAXDCSAQ_PCH!$A:$A,[5]NGDPRSAXDCSAQ_PCH!$B:$B,"")</f>
        <v/>
      </c>
    </row>
    <row r="91" spans="1:7" x14ac:dyDescent="0.2">
      <c r="A91" s="3">
        <v>34608</v>
      </c>
      <c r="B91" s="2">
        <v>16.490476190476191</v>
      </c>
      <c r="C91">
        <v>1.4786503508958727E-2</v>
      </c>
      <c r="D91" t="str">
        <f>_xlfn.XLOOKUP(A91,[1]Sheet2!$C:$C,[1]Sheet2!$B:$B,"")</f>
        <v/>
      </c>
      <c r="E91" t="str">
        <f>_xlfn.XLOOKUP(A91,[2]Sheet2!$C:$C,[2]Sheet2!$B:$B,"")</f>
        <v/>
      </c>
      <c r="F91" t="str">
        <f>_xlfn.XLOOKUP(A91,'[3]Monthly-Evolution-of-the-Purch'!$C:$C,'[3]Monthly-Evolution-of-the-Purch'!$B:$B,"")</f>
        <v/>
      </c>
      <c r="G91" t="str">
        <f>_xlfn.XLOOKUP(A91,[4]NGDPRSAXDCSAQ_PCH!$A:$A,[5]NGDPRSAXDCSAQ_PCH!$B:$B,"")</f>
        <v/>
      </c>
    </row>
    <row r="92" spans="1:7" x14ac:dyDescent="0.2">
      <c r="A92" s="3">
        <v>34639</v>
      </c>
      <c r="B92" s="2">
        <v>17.191363636363633</v>
      </c>
      <c r="C92">
        <v>1.5462464105057343E-2</v>
      </c>
      <c r="D92" t="str">
        <f>_xlfn.XLOOKUP(A92,[1]Sheet2!$C:$C,[1]Sheet2!$B:$B,"")</f>
        <v/>
      </c>
      <c r="E92" t="str">
        <f>_xlfn.XLOOKUP(A92,[2]Sheet2!$C:$C,[2]Sheet2!$B:$B,"")</f>
        <v/>
      </c>
      <c r="F92" t="str">
        <f>_xlfn.XLOOKUP(A92,'[3]Monthly-Evolution-of-the-Purch'!$C:$C,'[3]Monthly-Evolution-of-the-Purch'!$B:$B,"")</f>
        <v/>
      </c>
      <c r="G92" t="str">
        <f>_xlfn.XLOOKUP(A92,[4]NGDPRSAXDCSAQ_PCH!$A:$A,[5]NGDPRSAXDCSAQ_PCH!$B:$B,"")</f>
        <v/>
      </c>
    </row>
    <row r="93" spans="1:7" x14ac:dyDescent="0.2">
      <c r="A93" s="3">
        <v>34669</v>
      </c>
      <c r="B93" s="2">
        <v>15.931999999999999</v>
      </c>
      <c r="C93" t="e">
        <v>#NUM!</v>
      </c>
      <c r="D93" t="str">
        <f>_xlfn.XLOOKUP(A93,[1]Sheet2!$C:$C,[1]Sheet2!$B:$B,"")</f>
        <v/>
      </c>
      <c r="E93" t="str">
        <f>_xlfn.XLOOKUP(A93,[2]Sheet2!$C:$C,[2]Sheet2!$B:$B,"")</f>
        <v/>
      </c>
      <c r="F93" t="str">
        <f>_xlfn.XLOOKUP(A93,'[3]Monthly-Evolution-of-the-Purch'!$C:$C,'[3]Monthly-Evolution-of-the-Purch'!$B:$B,"")</f>
        <v/>
      </c>
      <c r="G93" t="str">
        <f>_xlfn.XLOOKUP(A93,[4]NGDPRSAXDCSAQ_PCH!$A:$A,[5]NGDPRSAXDCSAQ_PCH!$B:$B,"")</f>
        <v/>
      </c>
    </row>
    <row r="94" spans="1:7" x14ac:dyDescent="0.2">
      <c r="A94" s="3">
        <v>34700</v>
      </c>
      <c r="B94" s="2">
        <v>16.551904761904762</v>
      </c>
      <c r="C94" t="e">
        <v>#DIV/0!</v>
      </c>
      <c r="D94" t="str">
        <f>_xlfn.XLOOKUP(A94,[1]Sheet2!$C:$C,[1]Sheet2!$B:$B,"")</f>
        <v/>
      </c>
      <c r="E94" t="str">
        <f>_xlfn.XLOOKUP(A94,[2]Sheet2!$C:$C,[2]Sheet2!$B:$B,"")</f>
        <v/>
      </c>
      <c r="F94" t="str">
        <f>_xlfn.XLOOKUP(A94,'[3]Monthly-Evolution-of-the-Purch'!$C:$C,'[3]Monthly-Evolution-of-the-Purch'!$B:$B,"")</f>
        <v/>
      </c>
      <c r="G94" t="str">
        <f>_xlfn.XLOOKUP(A94,[4]NGDPRSAXDCSAQ_PCH!$A:$A,[5]NGDPRSAXDCSAQ_PCH!$B:$B,"")</f>
        <v/>
      </c>
    </row>
    <row r="95" spans="1:7" x14ac:dyDescent="0.2">
      <c r="A95" s="3">
        <v>34731</v>
      </c>
      <c r="B95" s="2">
        <v>17.114500000000003</v>
      </c>
      <c r="C95">
        <v>1.1105173167919164E-2</v>
      </c>
      <c r="D95" t="str">
        <f>_xlfn.XLOOKUP(A95,[1]Sheet2!$C:$C,[1]Sheet2!$B:$B,"")</f>
        <v/>
      </c>
      <c r="E95" t="str">
        <f>_xlfn.XLOOKUP(A95,[2]Sheet2!$C:$C,[2]Sheet2!$B:$B,"")</f>
        <v/>
      </c>
      <c r="F95" t="str">
        <f>_xlfn.XLOOKUP(A95,'[3]Monthly-Evolution-of-the-Purch'!$C:$C,'[3]Monthly-Evolution-of-the-Purch'!$B:$B,"")</f>
        <v/>
      </c>
      <c r="G95" t="str">
        <f>_xlfn.XLOOKUP(A95,[4]NGDPRSAXDCSAQ_PCH!$A:$A,[5]NGDPRSAXDCSAQ_PCH!$B:$B,"")</f>
        <v/>
      </c>
    </row>
    <row r="96" spans="1:7" x14ac:dyDescent="0.2">
      <c r="A96" s="3">
        <v>34759</v>
      </c>
      <c r="B96" s="2">
        <v>17.006521739130438</v>
      </c>
      <c r="C96">
        <v>9.8296553289119685E-3</v>
      </c>
      <c r="D96" t="str">
        <f>_xlfn.XLOOKUP(A96,[1]Sheet2!$C:$C,[1]Sheet2!$B:$B,"")</f>
        <v/>
      </c>
      <c r="E96" t="str">
        <f>_xlfn.XLOOKUP(A96,[2]Sheet2!$C:$C,[2]Sheet2!$B:$B,"")</f>
        <v/>
      </c>
      <c r="F96" t="str">
        <f>_xlfn.XLOOKUP(A96,'[3]Monthly-Evolution-of-the-Purch'!$C:$C,'[3]Monthly-Evolution-of-the-Purch'!$B:$B,"")</f>
        <v/>
      </c>
      <c r="G96" t="str">
        <f>_xlfn.XLOOKUP(A96,[4]NGDPRSAXDCSAQ_PCH!$A:$A,[5]NGDPRSAXDCSAQ_PCH!$B:$B,"")</f>
        <v/>
      </c>
    </row>
    <row r="97" spans="1:7" x14ac:dyDescent="0.2">
      <c r="A97" s="3">
        <v>34790</v>
      </c>
      <c r="B97" s="2">
        <v>18.64833333333333</v>
      </c>
      <c r="C97" t="e">
        <v>#NUM!</v>
      </c>
      <c r="D97" t="str">
        <f>_xlfn.XLOOKUP(A97,[1]Sheet2!$C:$C,[1]Sheet2!$B:$B,"")</f>
        <v/>
      </c>
      <c r="E97" t="str">
        <f>_xlfn.XLOOKUP(A97,[2]Sheet2!$C:$C,[2]Sheet2!$B:$B,"")</f>
        <v/>
      </c>
      <c r="F97" t="str">
        <f>_xlfn.XLOOKUP(A97,'[3]Monthly-Evolution-of-the-Purch'!$C:$C,'[3]Monthly-Evolution-of-the-Purch'!$B:$B,"")</f>
        <v/>
      </c>
      <c r="G97" t="str">
        <f>_xlfn.XLOOKUP(A97,[4]NGDPRSAXDCSAQ_PCH!$A:$A,[5]NGDPRSAXDCSAQ_PCH!$B:$B,"")</f>
        <v/>
      </c>
    </row>
    <row r="98" spans="1:7" x14ac:dyDescent="0.2">
      <c r="A98" s="3">
        <v>34820</v>
      </c>
      <c r="B98" s="2">
        <v>18.350909090909092</v>
      </c>
      <c r="C98" t="e">
        <v>#NUM!</v>
      </c>
      <c r="D98" t="str">
        <f>_xlfn.XLOOKUP(A98,[1]Sheet2!$C:$C,[1]Sheet2!$B:$B,"")</f>
        <v/>
      </c>
      <c r="E98" t="str">
        <f>_xlfn.XLOOKUP(A98,[2]Sheet2!$C:$C,[2]Sheet2!$B:$B,"")</f>
        <v/>
      </c>
      <c r="F98" t="str">
        <f>_xlfn.XLOOKUP(A98,'[3]Monthly-Evolution-of-the-Purch'!$C:$C,'[3]Monthly-Evolution-of-the-Purch'!$B:$B,"")</f>
        <v/>
      </c>
      <c r="G98" t="str">
        <f>_xlfn.XLOOKUP(A98,[4]NGDPRSAXDCSAQ_PCH!$A:$A,[5]NGDPRSAXDCSAQ_PCH!$B:$B,"")</f>
        <v/>
      </c>
    </row>
    <row r="99" spans="1:7" x14ac:dyDescent="0.2">
      <c r="A99" s="3">
        <v>34851</v>
      </c>
      <c r="B99" s="2">
        <v>17.312727272727273</v>
      </c>
      <c r="C99">
        <v>1.7067068134284238E-2</v>
      </c>
      <c r="D99" t="str">
        <f>_xlfn.XLOOKUP(A99,[1]Sheet2!$C:$C,[1]Sheet2!$B:$B,"")</f>
        <v/>
      </c>
      <c r="E99" t="str">
        <f>_xlfn.XLOOKUP(A99,[2]Sheet2!$C:$C,[2]Sheet2!$B:$B,"")</f>
        <v/>
      </c>
      <c r="F99" t="str">
        <f>_xlfn.XLOOKUP(A99,'[3]Monthly-Evolution-of-the-Purch'!$C:$C,'[3]Monthly-Evolution-of-the-Purch'!$B:$B,"")</f>
        <v/>
      </c>
      <c r="G99" t="str">
        <f>_xlfn.XLOOKUP(A99,[4]NGDPRSAXDCSAQ_PCH!$A:$A,[5]NGDPRSAXDCSAQ_PCH!$B:$B,"")</f>
        <v/>
      </c>
    </row>
    <row r="100" spans="1:7" x14ac:dyDescent="0.2">
      <c r="A100" s="3">
        <v>34881</v>
      </c>
      <c r="B100" s="2">
        <v>15.854285714285714</v>
      </c>
      <c r="C100">
        <v>1.3034941101268925E-2</v>
      </c>
      <c r="D100" t="str">
        <f>_xlfn.XLOOKUP(A100,[1]Sheet2!$C:$C,[1]Sheet2!$B:$B,"")</f>
        <v/>
      </c>
      <c r="E100" t="str">
        <f>_xlfn.XLOOKUP(A100,[2]Sheet2!$C:$C,[2]Sheet2!$B:$B,"")</f>
        <v/>
      </c>
      <c r="F100" t="str">
        <f>_xlfn.XLOOKUP(A100,'[3]Monthly-Evolution-of-the-Purch'!$C:$C,'[3]Monthly-Evolution-of-the-Purch'!$B:$B,"")</f>
        <v/>
      </c>
      <c r="G100" t="str">
        <f>_xlfn.XLOOKUP(A100,[4]NGDPRSAXDCSAQ_PCH!$A:$A,[5]NGDPRSAXDCSAQ_PCH!$B:$B,"")</f>
        <v/>
      </c>
    </row>
    <row r="101" spans="1:7" x14ac:dyDescent="0.2">
      <c r="A101" s="3">
        <v>34912</v>
      </c>
      <c r="B101" s="2">
        <v>16.096363636363638</v>
      </c>
      <c r="C101" t="e">
        <v>#NUM!</v>
      </c>
      <c r="D101" t="str">
        <f>_xlfn.XLOOKUP(A101,[1]Sheet2!$C:$C,[1]Sheet2!$B:$B,"")</f>
        <v/>
      </c>
      <c r="E101" t="str">
        <f>_xlfn.XLOOKUP(A101,[2]Sheet2!$C:$C,[2]Sheet2!$B:$B,"")</f>
        <v/>
      </c>
      <c r="F101" t="str">
        <f>_xlfn.XLOOKUP(A101,'[3]Monthly-Evolution-of-the-Purch'!$C:$C,'[3]Monthly-Evolution-of-the-Purch'!$B:$B,"")</f>
        <v/>
      </c>
      <c r="G101" t="str">
        <f>_xlfn.XLOOKUP(A101,[4]NGDPRSAXDCSAQ_PCH!$A:$A,[5]NGDPRSAXDCSAQ_PCH!$B:$B,"")</f>
        <v/>
      </c>
    </row>
    <row r="102" spans="1:7" x14ac:dyDescent="0.2">
      <c r="A102" s="3">
        <v>34943</v>
      </c>
      <c r="B102" s="2">
        <v>16.699523809523804</v>
      </c>
      <c r="C102">
        <v>1.2195844231983147E-2</v>
      </c>
      <c r="D102" t="str">
        <f>_xlfn.XLOOKUP(A102,[1]Sheet2!$C:$C,[1]Sheet2!$B:$B,"")</f>
        <v/>
      </c>
      <c r="E102" t="str">
        <f>_xlfn.XLOOKUP(A102,[2]Sheet2!$C:$C,[2]Sheet2!$B:$B,"")</f>
        <v/>
      </c>
      <c r="F102" t="str">
        <f>_xlfn.XLOOKUP(A102,'[3]Monthly-Evolution-of-the-Purch'!$C:$C,'[3]Monthly-Evolution-of-the-Purch'!$B:$B,"")</f>
        <v/>
      </c>
      <c r="G102" t="str">
        <f>_xlfn.XLOOKUP(A102,[4]NGDPRSAXDCSAQ_PCH!$A:$A,[5]NGDPRSAXDCSAQ_PCH!$B:$B,"")</f>
        <v/>
      </c>
    </row>
    <row r="103" spans="1:7" x14ac:dyDescent="0.2">
      <c r="A103" s="3">
        <v>34973</v>
      </c>
      <c r="B103" s="2">
        <v>16.11090909090909</v>
      </c>
      <c r="C103">
        <v>1.138539523781908E-2</v>
      </c>
      <c r="D103" t="str">
        <f>_xlfn.XLOOKUP(A103,[1]Sheet2!$C:$C,[1]Sheet2!$B:$B,"")</f>
        <v/>
      </c>
      <c r="E103" t="str">
        <f>_xlfn.XLOOKUP(A103,[2]Sheet2!$C:$C,[2]Sheet2!$B:$B,"")</f>
        <v/>
      </c>
      <c r="F103" t="str">
        <f>_xlfn.XLOOKUP(A103,'[3]Monthly-Evolution-of-the-Purch'!$C:$C,'[3]Monthly-Evolution-of-the-Purch'!$B:$B,"")</f>
        <v/>
      </c>
      <c r="G103" t="str">
        <f>_xlfn.XLOOKUP(A103,[4]NGDPRSAXDCSAQ_PCH!$A:$A,[5]NGDPRSAXDCSAQ_PCH!$B:$B,"")</f>
        <v/>
      </c>
    </row>
    <row r="104" spans="1:7" x14ac:dyDescent="0.2">
      <c r="A104" s="3">
        <v>35004</v>
      </c>
      <c r="B104" s="2">
        <v>16.86090909090909</v>
      </c>
      <c r="C104">
        <v>9.5658631880247372E-3</v>
      </c>
      <c r="D104" t="str">
        <f>_xlfn.XLOOKUP(A104,[1]Sheet2!$C:$C,[1]Sheet2!$B:$B,"")</f>
        <v/>
      </c>
      <c r="E104" t="str">
        <f>_xlfn.XLOOKUP(A104,[2]Sheet2!$C:$C,[2]Sheet2!$B:$B,"")</f>
        <v/>
      </c>
      <c r="F104" t="str">
        <f>_xlfn.XLOOKUP(A104,'[3]Monthly-Evolution-of-the-Purch'!$C:$C,'[3]Monthly-Evolution-of-the-Purch'!$B:$B,"")</f>
        <v/>
      </c>
      <c r="G104" t="str">
        <f>_xlfn.XLOOKUP(A104,[4]NGDPRSAXDCSAQ_PCH!$A:$A,[5]NGDPRSAXDCSAQ_PCH!$B:$B,"")</f>
        <v/>
      </c>
    </row>
    <row r="105" spans="1:7" x14ac:dyDescent="0.2">
      <c r="A105" s="3">
        <v>35034</v>
      </c>
      <c r="B105" s="2">
        <v>17.92526315789474</v>
      </c>
      <c r="C105" t="e">
        <v>#NUM!</v>
      </c>
      <c r="D105" t="str">
        <f>_xlfn.XLOOKUP(A105,[1]Sheet2!$C:$C,[1]Sheet2!$B:$B,"")</f>
        <v/>
      </c>
      <c r="E105" t="str">
        <f>_xlfn.XLOOKUP(A105,[2]Sheet2!$C:$C,[2]Sheet2!$B:$B,"")</f>
        <v/>
      </c>
      <c r="F105" t="str">
        <f>_xlfn.XLOOKUP(A105,'[3]Monthly-Evolution-of-the-Purch'!$C:$C,'[3]Monthly-Evolution-of-the-Purch'!$B:$B,"")</f>
        <v/>
      </c>
      <c r="G105" t="str">
        <f>_xlfn.XLOOKUP(A105,[4]NGDPRSAXDCSAQ_PCH!$A:$A,[5]NGDPRSAXDCSAQ_PCH!$B:$B,"")</f>
        <v/>
      </c>
    </row>
    <row r="106" spans="1:7" x14ac:dyDescent="0.2">
      <c r="A106" s="3">
        <v>35065</v>
      </c>
      <c r="B106" s="2">
        <v>17.853181818181817</v>
      </c>
      <c r="C106" t="e">
        <v>#DIV/0!</v>
      </c>
      <c r="D106" t="str">
        <f>_xlfn.XLOOKUP(A106,[1]Sheet2!$C:$C,[1]Sheet2!$B:$B,"")</f>
        <v/>
      </c>
      <c r="E106" t="str">
        <f>_xlfn.XLOOKUP(A106,[2]Sheet2!$C:$C,[2]Sheet2!$B:$B,"")</f>
        <v/>
      </c>
      <c r="F106" t="str">
        <f>_xlfn.XLOOKUP(A106,'[3]Monthly-Evolution-of-the-Purch'!$C:$C,'[3]Monthly-Evolution-of-the-Purch'!$B:$B,"")</f>
        <v/>
      </c>
      <c r="G106" t="str">
        <f>_xlfn.XLOOKUP(A106,[4]NGDPRSAXDCSAQ_PCH!$A:$A,[5]NGDPRSAXDCSAQ_PCH!$B:$B,"")</f>
        <v/>
      </c>
    </row>
    <row r="107" spans="1:7" x14ac:dyDescent="0.2">
      <c r="A107" s="3">
        <v>35096</v>
      </c>
      <c r="B107" s="2">
        <v>17.999047619047623</v>
      </c>
      <c r="C107">
        <v>1.6093265779154854E-2</v>
      </c>
      <c r="D107" t="str">
        <f>_xlfn.XLOOKUP(A107,[1]Sheet2!$C:$C,[1]Sheet2!$B:$B,"")</f>
        <v/>
      </c>
      <c r="E107" t="str">
        <f>_xlfn.XLOOKUP(A107,[2]Sheet2!$C:$C,[2]Sheet2!$B:$B,"")</f>
        <v/>
      </c>
      <c r="F107" t="str">
        <f>_xlfn.XLOOKUP(A107,'[3]Monthly-Evolution-of-the-Purch'!$C:$C,'[3]Monthly-Evolution-of-the-Purch'!$B:$B,"")</f>
        <v/>
      </c>
      <c r="G107" t="str">
        <f>_xlfn.XLOOKUP(A107,[4]NGDPRSAXDCSAQ_PCH!$A:$A,[5]NGDPRSAXDCSAQ_PCH!$B:$B,"")</f>
        <v/>
      </c>
    </row>
    <row r="108" spans="1:7" x14ac:dyDescent="0.2">
      <c r="A108" s="3">
        <v>35125</v>
      </c>
      <c r="B108" s="2">
        <v>19.851904761904763</v>
      </c>
      <c r="C108">
        <v>2.2609585097447767E-2</v>
      </c>
      <c r="D108" t="str">
        <f>_xlfn.XLOOKUP(A108,[1]Sheet2!$C:$C,[1]Sheet2!$B:$B,"")</f>
        <v/>
      </c>
      <c r="E108" t="str">
        <f>_xlfn.XLOOKUP(A108,[2]Sheet2!$C:$C,[2]Sheet2!$B:$B,"")</f>
        <v/>
      </c>
      <c r="F108" t="str">
        <f>_xlfn.XLOOKUP(A108,'[3]Monthly-Evolution-of-the-Purch'!$C:$C,'[3]Monthly-Evolution-of-the-Purch'!$B:$B,"")</f>
        <v/>
      </c>
      <c r="G108" t="str">
        <f>_xlfn.XLOOKUP(A108,[4]NGDPRSAXDCSAQ_PCH!$A:$A,[5]NGDPRSAXDCSAQ_PCH!$B:$B,"")</f>
        <v/>
      </c>
    </row>
    <row r="109" spans="1:7" x14ac:dyDescent="0.2">
      <c r="A109" s="3">
        <v>35156</v>
      </c>
      <c r="B109" s="2">
        <v>20.900500000000001</v>
      </c>
      <c r="C109" t="e">
        <v>#NUM!</v>
      </c>
      <c r="D109" t="str">
        <f>_xlfn.XLOOKUP(A109,[1]Sheet2!$C:$C,[1]Sheet2!$B:$B,"")</f>
        <v/>
      </c>
      <c r="E109" t="str">
        <f>_xlfn.XLOOKUP(A109,[2]Sheet2!$C:$C,[2]Sheet2!$B:$B,"")</f>
        <v/>
      </c>
      <c r="F109" t="str">
        <f>_xlfn.XLOOKUP(A109,'[3]Monthly-Evolution-of-the-Purch'!$C:$C,'[3]Monthly-Evolution-of-the-Purch'!$B:$B,"")</f>
        <v/>
      </c>
      <c r="G109" t="str">
        <f>_xlfn.XLOOKUP(A109,[4]NGDPRSAXDCSAQ_PCH!$A:$A,[5]NGDPRSAXDCSAQ_PCH!$B:$B,"")</f>
        <v/>
      </c>
    </row>
    <row r="110" spans="1:7" x14ac:dyDescent="0.2">
      <c r="A110" s="3">
        <v>35186</v>
      </c>
      <c r="B110" s="2">
        <v>19.154761904761902</v>
      </c>
      <c r="C110" t="e">
        <v>#NUM!</v>
      </c>
      <c r="D110" t="str">
        <f>_xlfn.XLOOKUP(A110,[1]Sheet2!$C:$C,[1]Sheet2!$B:$B,"")</f>
        <v/>
      </c>
      <c r="E110" t="str">
        <f>_xlfn.XLOOKUP(A110,[2]Sheet2!$C:$C,[2]Sheet2!$B:$B,"")</f>
        <v/>
      </c>
      <c r="F110" t="str">
        <f>_xlfn.XLOOKUP(A110,'[3]Monthly-Evolution-of-the-Purch'!$C:$C,'[3]Monthly-Evolution-of-the-Purch'!$B:$B,"")</f>
        <v/>
      </c>
      <c r="G110" t="str">
        <f>_xlfn.XLOOKUP(A110,[4]NGDPRSAXDCSAQ_PCH!$A:$A,[5]NGDPRSAXDCSAQ_PCH!$B:$B,"")</f>
        <v/>
      </c>
    </row>
    <row r="111" spans="1:7" x14ac:dyDescent="0.2">
      <c r="A111" s="3">
        <v>35217</v>
      </c>
      <c r="B111" s="2">
        <v>18.456499999999998</v>
      </c>
      <c r="C111">
        <v>1.7694167049129933E-2</v>
      </c>
      <c r="D111" t="str">
        <f>_xlfn.XLOOKUP(A111,[1]Sheet2!$C:$C,[1]Sheet2!$B:$B,"")</f>
        <v/>
      </c>
      <c r="E111" t="str">
        <f>_xlfn.XLOOKUP(A111,[2]Sheet2!$C:$C,[2]Sheet2!$B:$B,"")</f>
        <v/>
      </c>
      <c r="F111" t="str">
        <f>_xlfn.XLOOKUP(A111,'[3]Monthly-Evolution-of-the-Purch'!$C:$C,'[3]Monthly-Evolution-of-the-Purch'!$B:$B,"")</f>
        <v/>
      </c>
      <c r="G111" t="str">
        <f>_xlfn.XLOOKUP(A111,[4]NGDPRSAXDCSAQ_PCH!$A:$A,[5]NGDPRSAXDCSAQ_PCH!$B:$B,"")</f>
        <v/>
      </c>
    </row>
    <row r="112" spans="1:7" x14ac:dyDescent="0.2">
      <c r="A112" s="3">
        <v>35247</v>
      </c>
      <c r="B112" s="2">
        <v>19.570869565217393</v>
      </c>
      <c r="C112">
        <v>1.5636727380774339E-2</v>
      </c>
      <c r="D112" t="str">
        <f>_xlfn.XLOOKUP(A112,[1]Sheet2!$C:$C,[1]Sheet2!$B:$B,"")</f>
        <v/>
      </c>
      <c r="E112" t="str">
        <f>_xlfn.XLOOKUP(A112,[2]Sheet2!$C:$C,[2]Sheet2!$B:$B,"")</f>
        <v/>
      </c>
      <c r="F112" t="str">
        <f>_xlfn.XLOOKUP(A112,'[3]Monthly-Evolution-of-the-Purch'!$C:$C,'[3]Monthly-Evolution-of-the-Purch'!$B:$B,"")</f>
        <v/>
      </c>
      <c r="G112" t="str">
        <f>_xlfn.XLOOKUP(A112,[4]NGDPRSAXDCSAQ_PCH!$A:$A,[5]NGDPRSAXDCSAQ_PCH!$B:$B,"")</f>
        <v/>
      </c>
    </row>
    <row r="113" spans="1:7" x14ac:dyDescent="0.2">
      <c r="A113" s="3">
        <v>35278</v>
      </c>
      <c r="B113" s="2">
        <v>20.512380952380958</v>
      </c>
      <c r="C113" t="e">
        <v>#NUM!</v>
      </c>
      <c r="D113" t="str">
        <f>_xlfn.XLOOKUP(A113,[1]Sheet2!$C:$C,[1]Sheet2!$B:$B,"")</f>
        <v/>
      </c>
      <c r="E113" t="str">
        <f>_xlfn.XLOOKUP(A113,[2]Sheet2!$C:$C,[2]Sheet2!$B:$B,"")</f>
        <v/>
      </c>
      <c r="F113" t="str">
        <f>_xlfn.XLOOKUP(A113,'[3]Monthly-Evolution-of-the-Purch'!$C:$C,'[3]Monthly-Evolution-of-the-Purch'!$B:$B,"")</f>
        <v/>
      </c>
      <c r="G113" t="str">
        <f>_xlfn.XLOOKUP(A113,[4]NGDPRSAXDCSAQ_PCH!$A:$A,[5]NGDPRSAXDCSAQ_PCH!$B:$B,"")</f>
        <v/>
      </c>
    </row>
    <row r="114" spans="1:7" x14ac:dyDescent="0.2">
      <c r="A114" s="3">
        <v>35309</v>
      </c>
      <c r="B114" s="2">
        <v>22.630476190476188</v>
      </c>
      <c r="C114">
        <v>2.6558576509855616E-2</v>
      </c>
      <c r="D114" t="str">
        <f>_xlfn.XLOOKUP(A114,[1]Sheet2!$C:$C,[1]Sheet2!$B:$B,"")</f>
        <v/>
      </c>
      <c r="E114" t="str">
        <f>_xlfn.XLOOKUP(A114,[2]Sheet2!$C:$C,[2]Sheet2!$B:$B,"")</f>
        <v/>
      </c>
      <c r="F114" t="str">
        <f>_xlfn.XLOOKUP(A114,'[3]Monthly-Evolution-of-the-Purch'!$C:$C,'[3]Monthly-Evolution-of-the-Purch'!$B:$B,"")</f>
        <v/>
      </c>
      <c r="G114" t="str">
        <f>_xlfn.XLOOKUP(A114,[4]NGDPRSAXDCSAQ_PCH!$A:$A,[5]NGDPRSAXDCSAQ_PCH!$B:$B,"")</f>
        <v/>
      </c>
    </row>
    <row r="115" spans="1:7" x14ac:dyDescent="0.2">
      <c r="A115" s="3">
        <v>35339</v>
      </c>
      <c r="B115" s="2">
        <v>24.162608695652171</v>
      </c>
      <c r="C115">
        <v>2.0251478194413551E-2</v>
      </c>
      <c r="D115" t="str">
        <f>_xlfn.XLOOKUP(A115,[1]Sheet2!$C:$C,[1]Sheet2!$B:$B,"")</f>
        <v/>
      </c>
      <c r="E115" t="str">
        <f>_xlfn.XLOOKUP(A115,[2]Sheet2!$C:$C,[2]Sheet2!$B:$B,"")</f>
        <v/>
      </c>
      <c r="F115" t="str">
        <f>_xlfn.XLOOKUP(A115,'[3]Monthly-Evolution-of-the-Purch'!$C:$C,'[3]Monthly-Evolution-of-the-Purch'!$B:$B,"")</f>
        <v/>
      </c>
      <c r="G115" t="str">
        <f>_xlfn.XLOOKUP(A115,[4]NGDPRSAXDCSAQ_PCH!$A:$A,[5]NGDPRSAXDCSAQ_PCH!$B:$B,"")</f>
        <v/>
      </c>
    </row>
    <row r="116" spans="1:7" x14ac:dyDescent="0.2">
      <c r="A116" s="3">
        <v>35370</v>
      </c>
      <c r="B116" s="2">
        <v>22.759523809523806</v>
      </c>
      <c r="C116">
        <v>1.8226533019937628E-2</v>
      </c>
      <c r="D116" t="str">
        <f>_xlfn.XLOOKUP(A116,[1]Sheet2!$C:$C,[1]Sheet2!$B:$B,"")</f>
        <v/>
      </c>
      <c r="E116" t="str">
        <f>_xlfn.XLOOKUP(A116,[2]Sheet2!$C:$C,[2]Sheet2!$B:$B,"")</f>
        <v/>
      </c>
      <c r="F116" t="str">
        <f>_xlfn.XLOOKUP(A116,'[3]Monthly-Evolution-of-the-Purch'!$C:$C,'[3]Monthly-Evolution-of-the-Purch'!$B:$B,"")</f>
        <v/>
      </c>
      <c r="G116" t="str">
        <f>_xlfn.XLOOKUP(A116,[4]NGDPRSAXDCSAQ_PCH!$A:$A,[5]NGDPRSAXDCSAQ_PCH!$B:$B,"")</f>
        <v/>
      </c>
    </row>
    <row r="117" spans="1:7" x14ac:dyDescent="0.2">
      <c r="A117" s="3">
        <v>35400</v>
      </c>
      <c r="B117" s="2">
        <v>23.783000000000001</v>
      </c>
      <c r="C117" t="e">
        <v>#NUM!</v>
      </c>
      <c r="D117" t="str">
        <f>_xlfn.XLOOKUP(A117,[1]Sheet2!$C:$C,[1]Sheet2!$B:$B,"")</f>
        <v/>
      </c>
      <c r="E117" t="str">
        <f>_xlfn.XLOOKUP(A117,[2]Sheet2!$C:$C,[2]Sheet2!$B:$B,"")</f>
        <v/>
      </c>
      <c r="F117" t="str">
        <f>_xlfn.XLOOKUP(A117,'[3]Monthly-Evolution-of-the-Purch'!$C:$C,'[3]Monthly-Evolution-of-the-Purch'!$B:$B,"")</f>
        <v/>
      </c>
      <c r="G117" t="str">
        <f>_xlfn.XLOOKUP(A117,[4]NGDPRSAXDCSAQ_PCH!$A:$A,[5]NGDPRSAXDCSAQ_PCH!$B:$B,"")</f>
        <v/>
      </c>
    </row>
    <row r="118" spans="1:7" x14ac:dyDescent="0.2">
      <c r="A118" s="3">
        <v>35431</v>
      </c>
      <c r="B118" s="2">
        <v>23.537619047619053</v>
      </c>
      <c r="C118" t="e">
        <v>#DIV/0!</v>
      </c>
      <c r="D118" t="str">
        <f>_xlfn.XLOOKUP(A118,[1]Sheet2!$C:$C,[1]Sheet2!$B:$B,"")</f>
        <v/>
      </c>
      <c r="E118" t="str">
        <f>_xlfn.XLOOKUP(A118,[2]Sheet2!$C:$C,[2]Sheet2!$B:$B,"")</f>
        <v/>
      </c>
      <c r="F118" t="str">
        <f>_xlfn.XLOOKUP(A118,'[3]Monthly-Evolution-of-the-Purch'!$C:$C,'[3]Monthly-Evolution-of-the-Purch'!$B:$B,"")</f>
        <v/>
      </c>
      <c r="G118" t="str">
        <f>_xlfn.XLOOKUP(A118,[4]NGDPRSAXDCSAQ_PCH!$A:$A,[5]NGDPRSAXDCSAQ_PCH!$B:$B,"")</f>
        <v/>
      </c>
    </row>
    <row r="119" spans="1:7" x14ac:dyDescent="0.2">
      <c r="A119" s="3">
        <v>35462</v>
      </c>
      <c r="B119" s="2">
        <v>20.850526315789473</v>
      </c>
      <c r="C119" t="e">
        <v>#NUM!</v>
      </c>
      <c r="D119" t="str">
        <f>_xlfn.XLOOKUP(A119,[1]Sheet2!$C:$C,[1]Sheet2!$B:$B,"")</f>
        <v/>
      </c>
      <c r="E119" t="str">
        <f>_xlfn.XLOOKUP(A119,[2]Sheet2!$C:$C,[2]Sheet2!$B:$B,"")</f>
        <v/>
      </c>
      <c r="F119" t="str">
        <f>_xlfn.XLOOKUP(A119,'[3]Monthly-Evolution-of-the-Purch'!$C:$C,'[3]Monthly-Evolution-of-the-Purch'!$B:$B,"")</f>
        <v/>
      </c>
      <c r="G119" t="str">
        <f>_xlfn.XLOOKUP(A119,[4]NGDPRSAXDCSAQ_PCH!$A:$A,[5]NGDPRSAXDCSAQ_PCH!$B:$B,"")</f>
        <v/>
      </c>
    </row>
    <row r="120" spans="1:7" x14ac:dyDescent="0.2">
      <c r="A120" s="3">
        <v>35490</v>
      </c>
      <c r="B120" s="2">
        <v>19.132999999999999</v>
      </c>
      <c r="C120" t="e">
        <v>#NUM!</v>
      </c>
      <c r="D120" t="str">
        <f>_xlfn.XLOOKUP(A120,[1]Sheet2!$C:$C,[1]Sheet2!$B:$B,"")</f>
        <v/>
      </c>
      <c r="E120" t="str">
        <f>_xlfn.XLOOKUP(A120,[2]Sheet2!$C:$C,[2]Sheet2!$B:$B,"")</f>
        <v/>
      </c>
      <c r="F120" t="str">
        <f>_xlfn.XLOOKUP(A120,'[3]Monthly-Evolution-of-the-Purch'!$C:$C,'[3]Monthly-Evolution-of-the-Purch'!$B:$B,"")</f>
        <v/>
      </c>
      <c r="G120" t="str">
        <f>_xlfn.XLOOKUP(A120,[4]NGDPRSAXDCSAQ_PCH!$A:$A,[5]NGDPRSAXDCSAQ_PCH!$B:$B,"")</f>
        <v/>
      </c>
    </row>
    <row r="121" spans="1:7" x14ac:dyDescent="0.2">
      <c r="A121" s="3">
        <v>35521</v>
      </c>
      <c r="B121" s="2">
        <v>17.555909090909086</v>
      </c>
      <c r="C121">
        <v>1.5798213152671298E-2</v>
      </c>
      <c r="D121" t="str">
        <f>_xlfn.XLOOKUP(A121,[1]Sheet2!$C:$C,[1]Sheet2!$B:$B,"")</f>
        <v/>
      </c>
      <c r="E121" t="str">
        <f>_xlfn.XLOOKUP(A121,[2]Sheet2!$C:$C,[2]Sheet2!$B:$B,"")</f>
        <v/>
      </c>
      <c r="F121" t="str">
        <f>_xlfn.XLOOKUP(A121,'[3]Monthly-Evolution-of-the-Purch'!$C:$C,'[3]Monthly-Evolution-of-the-Purch'!$B:$B,"")</f>
        <v/>
      </c>
      <c r="G121" t="str">
        <f>_xlfn.XLOOKUP(A121,[4]NGDPRSAXDCSAQ_PCH!$A:$A,[5]NGDPRSAXDCSAQ_PCH!$B:$B,"")</f>
        <v/>
      </c>
    </row>
    <row r="122" spans="1:7" x14ac:dyDescent="0.2">
      <c r="A122" s="3">
        <v>35551</v>
      </c>
      <c r="B122" s="2">
        <v>19.022857142857141</v>
      </c>
      <c r="C122" t="e">
        <v>#NUM!</v>
      </c>
      <c r="D122" t="str">
        <f>_xlfn.XLOOKUP(A122,[1]Sheet2!$C:$C,[1]Sheet2!$B:$B,"")</f>
        <v/>
      </c>
      <c r="E122" t="str">
        <f>_xlfn.XLOOKUP(A122,[2]Sheet2!$C:$C,[2]Sheet2!$B:$B,"")</f>
        <v/>
      </c>
      <c r="F122" t="str">
        <f>_xlfn.XLOOKUP(A122,'[3]Monthly-Evolution-of-the-Purch'!$C:$C,'[3]Monthly-Evolution-of-the-Purch'!$B:$B,"")</f>
        <v/>
      </c>
      <c r="G122" t="str">
        <f>_xlfn.XLOOKUP(A122,[4]NGDPRSAXDCSAQ_PCH!$A:$A,[5]NGDPRSAXDCSAQ_PCH!$B:$B,"")</f>
        <v/>
      </c>
    </row>
    <row r="123" spans="1:7" x14ac:dyDescent="0.2">
      <c r="A123" s="3">
        <v>35582</v>
      </c>
      <c r="B123" s="2">
        <v>17.580000000000002</v>
      </c>
      <c r="C123" t="e">
        <v>#NUM!</v>
      </c>
      <c r="D123" t="str">
        <f>_xlfn.XLOOKUP(A123,[1]Sheet2!$C:$C,[1]Sheet2!$B:$B,"")</f>
        <v/>
      </c>
      <c r="E123" t="str">
        <f>_xlfn.XLOOKUP(A123,[2]Sheet2!$C:$C,[2]Sheet2!$B:$B,"")</f>
        <v/>
      </c>
      <c r="F123" t="str">
        <f>_xlfn.XLOOKUP(A123,'[3]Monthly-Evolution-of-the-Purch'!$C:$C,'[3]Monthly-Evolution-of-the-Purch'!$B:$B,"")</f>
        <v/>
      </c>
      <c r="G123" t="str">
        <f>_xlfn.XLOOKUP(A123,[4]NGDPRSAXDCSAQ_PCH!$A:$A,[5]NGDPRSAXDCSAQ_PCH!$B:$B,"")</f>
        <v/>
      </c>
    </row>
    <row r="124" spans="1:7" x14ac:dyDescent="0.2">
      <c r="A124" s="3">
        <v>35612</v>
      </c>
      <c r="B124" s="2">
        <v>18.464499999999997</v>
      </c>
      <c r="C124" t="e">
        <v>#DIV/0!</v>
      </c>
      <c r="D124" t="str">
        <f>_xlfn.XLOOKUP(A124,[1]Sheet2!$C:$C,[1]Sheet2!$B:$B,"")</f>
        <v/>
      </c>
      <c r="E124" t="str">
        <f>_xlfn.XLOOKUP(A124,[2]Sheet2!$C:$C,[2]Sheet2!$B:$B,"")</f>
        <v/>
      </c>
      <c r="F124" t="str">
        <f>_xlfn.XLOOKUP(A124,'[3]Monthly-Evolution-of-the-Purch'!$C:$C,'[3]Monthly-Evolution-of-the-Purch'!$B:$B,"")</f>
        <v/>
      </c>
      <c r="G124" t="str">
        <f>_xlfn.XLOOKUP(A124,[4]NGDPRSAXDCSAQ_PCH!$A:$A,[5]NGDPRSAXDCSAQ_PCH!$B:$B,"")</f>
        <v/>
      </c>
    </row>
    <row r="125" spans="1:7" x14ac:dyDescent="0.2">
      <c r="A125" s="3">
        <v>35643</v>
      </c>
      <c r="B125" s="2">
        <v>18.595500000000001</v>
      </c>
      <c r="C125" t="e">
        <v>#NUM!</v>
      </c>
      <c r="D125" t="str">
        <f>_xlfn.XLOOKUP(A125,[1]Sheet2!$C:$C,[1]Sheet2!$B:$B,"")</f>
        <v/>
      </c>
      <c r="E125" t="str">
        <f>_xlfn.XLOOKUP(A125,[2]Sheet2!$C:$C,[2]Sheet2!$B:$B,"")</f>
        <v/>
      </c>
      <c r="F125" t="str">
        <f>_xlfn.XLOOKUP(A125,'[3]Monthly-Evolution-of-the-Purch'!$C:$C,'[3]Monthly-Evolution-of-the-Purch'!$B:$B,"")</f>
        <v/>
      </c>
      <c r="G125" t="str">
        <f>_xlfn.XLOOKUP(A125,[4]NGDPRSAXDCSAQ_PCH!$A:$A,[5]NGDPRSAXDCSAQ_PCH!$B:$B,"")</f>
        <v/>
      </c>
    </row>
    <row r="126" spans="1:7" x14ac:dyDescent="0.2">
      <c r="A126" s="3">
        <v>35674</v>
      </c>
      <c r="B126" s="2">
        <v>18.460952380952381</v>
      </c>
      <c r="C126" t="e">
        <v>#DIV/0!</v>
      </c>
      <c r="D126" t="str">
        <f>_xlfn.XLOOKUP(A126,[1]Sheet2!$C:$C,[1]Sheet2!$B:$B,"")</f>
        <v/>
      </c>
      <c r="E126" t="str">
        <f>_xlfn.XLOOKUP(A126,[2]Sheet2!$C:$C,[2]Sheet2!$B:$B,"")</f>
        <v/>
      </c>
      <c r="F126" t="str">
        <f>_xlfn.XLOOKUP(A126,'[3]Monthly-Evolution-of-the-Purch'!$C:$C,'[3]Monthly-Evolution-of-the-Purch'!$B:$B,"")</f>
        <v/>
      </c>
      <c r="G126" t="str">
        <f>_xlfn.XLOOKUP(A126,[4]NGDPRSAXDCSAQ_PCH!$A:$A,[5]NGDPRSAXDCSAQ_PCH!$B:$B,"")</f>
        <v/>
      </c>
    </row>
    <row r="127" spans="1:7" x14ac:dyDescent="0.2">
      <c r="A127" s="3">
        <v>35704</v>
      </c>
      <c r="B127" s="2">
        <v>19.865217391304348</v>
      </c>
      <c r="C127">
        <v>2.1575795051364335E-2</v>
      </c>
      <c r="D127" t="str">
        <f>_xlfn.XLOOKUP(A127,[1]Sheet2!$C:$C,[1]Sheet2!$B:$B,"")</f>
        <v/>
      </c>
      <c r="E127" t="str">
        <f>_xlfn.XLOOKUP(A127,[2]Sheet2!$C:$C,[2]Sheet2!$B:$B,"")</f>
        <v/>
      </c>
      <c r="F127" t="str">
        <f>_xlfn.XLOOKUP(A127,'[3]Monthly-Evolution-of-the-Purch'!$C:$C,'[3]Monthly-Evolution-of-the-Purch'!$B:$B,"")</f>
        <v/>
      </c>
      <c r="G127" t="str">
        <f>_xlfn.XLOOKUP(A127,[4]NGDPRSAXDCSAQ_PCH!$A:$A,[5]NGDPRSAXDCSAQ_PCH!$B:$B,"")</f>
        <v/>
      </c>
    </row>
    <row r="128" spans="1:7" x14ac:dyDescent="0.2">
      <c r="A128" s="3">
        <v>35735</v>
      </c>
      <c r="B128" s="2">
        <v>19.174210526315786</v>
      </c>
      <c r="C128" t="e">
        <v>#NUM!</v>
      </c>
      <c r="D128" t="str">
        <f>_xlfn.XLOOKUP(A128,[1]Sheet2!$C:$C,[1]Sheet2!$B:$B,"")</f>
        <v/>
      </c>
      <c r="E128" t="str">
        <f>_xlfn.XLOOKUP(A128,[2]Sheet2!$C:$C,[2]Sheet2!$B:$B,"")</f>
        <v/>
      </c>
      <c r="F128" t="str">
        <f>_xlfn.XLOOKUP(A128,'[3]Monthly-Evolution-of-the-Purch'!$C:$C,'[3]Monthly-Evolution-of-the-Purch'!$B:$B,"")</f>
        <v/>
      </c>
      <c r="G128" t="str">
        <f>_xlfn.XLOOKUP(A128,[4]NGDPRSAXDCSAQ_PCH!$A:$A,[5]NGDPRSAXDCSAQ_PCH!$B:$B,"")</f>
        <v/>
      </c>
    </row>
    <row r="129" spans="1:7" x14ac:dyDescent="0.2">
      <c r="A129" s="3">
        <v>35765</v>
      </c>
      <c r="B129" s="2">
        <v>17.181904761904764</v>
      </c>
      <c r="C129" t="e">
        <v>#NUM!</v>
      </c>
      <c r="D129" t="str">
        <f>_xlfn.XLOOKUP(A129,[1]Sheet2!$C:$C,[1]Sheet2!$B:$B,"")</f>
        <v/>
      </c>
      <c r="E129" t="str">
        <f>_xlfn.XLOOKUP(A129,[2]Sheet2!$C:$C,[2]Sheet2!$B:$B,"")</f>
        <v/>
      </c>
      <c r="F129" t="str">
        <f>_xlfn.XLOOKUP(A129,'[3]Monthly-Evolution-of-the-Purch'!$C:$C,'[3]Monthly-Evolution-of-the-Purch'!$B:$B,"")</f>
        <v/>
      </c>
      <c r="G129" t="str">
        <f>_xlfn.XLOOKUP(A129,[4]NGDPRSAXDCSAQ_PCH!$A:$A,[5]NGDPRSAXDCSAQ_PCH!$B:$B,"")</f>
        <v/>
      </c>
    </row>
    <row r="130" spans="1:7" x14ac:dyDescent="0.2">
      <c r="A130" s="3">
        <v>35796</v>
      </c>
      <c r="B130" s="2">
        <v>15.186666666666662</v>
      </c>
      <c r="C130" t="e">
        <v>#DIV/0!</v>
      </c>
      <c r="D130" t="str">
        <f>_xlfn.XLOOKUP(A130,[1]Sheet2!$C:$C,[1]Sheet2!$B:$B,"")</f>
        <v/>
      </c>
      <c r="E130" t="str">
        <f>_xlfn.XLOOKUP(A130,[2]Sheet2!$C:$C,[2]Sheet2!$B:$B,"")</f>
        <v/>
      </c>
      <c r="F130" t="str">
        <f>_xlfn.XLOOKUP(A130,'[3]Monthly-Evolution-of-the-Purch'!$C:$C,'[3]Monthly-Evolution-of-the-Purch'!$B:$B,"")</f>
        <v/>
      </c>
      <c r="G130" t="str">
        <f>_xlfn.XLOOKUP(A130,[4]NGDPRSAXDCSAQ_PCH!$A:$A,[5]NGDPRSAXDCSAQ_PCH!$B:$B,"")</f>
        <v/>
      </c>
    </row>
    <row r="131" spans="1:7" x14ac:dyDescent="0.2">
      <c r="A131" s="3">
        <v>35827</v>
      </c>
      <c r="B131" s="2">
        <v>14.0695</v>
      </c>
      <c r="C131">
        <v>2.1276889078430603E-2</v>
      </c>
      <c r="D131" t="str">
        <f>_xlfn.XLOOKUP(A131,[1]Sheet2!$C:$C,[1]Sheet2!$B:$B,"")</f>
        <v/>
      </c>
      <c r="E131" t="str">
        <f>_xlfn.XLOOKUP(A131,[2]Sheet2!$C:$C,[2]Sheet2!$B:$B,"")</f>
        <v/>
      </c>
      <c r="F131" t="str">
        <f>_xlfn.XLOOKUP(A131,'[3]Monthly-Evolution-of-the-Purch'!$C:$C,'[3]Monthly-Evolution-of-the-Purch'!$B:$B,"")</f>
        <v/>
      </c>
      <c r="G131" t="str">
        <f>_xlfn.XLOOKUP(A131,[4]NGDPRSAXDCSAQ_PCH!$A:$A,[5]NGDPRSAXDCSAQ_PCH!$B:$B,"")</f>
        <v/>
      </c>
    </row>
    <row r="132" spans="1:7" x14ac:dyDescent="0.2">
      <c r="A132" s="3">
        <v>35855</v>
      </c>
      <c r="B132" s="2">
        <v>13.10318181818182</v>
      </c>
      <c r="C132">
        <v>5.0459836379224292E-2</v>
      </c>
      <c r="D132" t="str">
        <f>_xlfn.XLOOKUP(A132,[1]Sheet2!$C:$C,[1]Sheet2!$B:$B,"")</f>
        <v/>
      </c>
      <c r="E132" t="str">
        <f>_xlfn.XLOOKUP(A132,[2]Sheet2!$C:$C,[2]Sheet2!$B:$B,"")</f>
        <v/>
      </c>
      <c r="F132" t="str">
        <f>_xlfn.XLOOKUP(A132,'[3]Monthly-Evolution-of-the-Purch'!$C:$C,'[3]Monthly-Evolution-of-the-Purch'!$B:$B,"")</f>
        <v/>
      </c>
      <c r="G132" t="str">
        <f>_xlfn.XLOOKUP(A132,[4]NGDPRSAXDCSAQ_PCH!$A:$A,[5]NGDPRSAXDCSAQ_PCH!$B:$B,"")</f>
        <v/>
      </c>
    </row>
    <row r="133" spans="1:7" x14ac:dyDescent="0.2">
      <c r="A133" s="3">
        <v>35886</v>
      </c>
      <c r="B133" s="2">
        <v>13.526499999999999</v>
      </c>
      <c r="C133" t="e">
        <v>#NUM!</v>
      </c>
      <c r="D133" t="str">
        <f>_xlfn.XLOOKUP(A133,[1]Sheet2!$C:$C,[1]Sheet2!$B:$B,"")</f>
        <v/>
      </c>
      <c r="E133" t="str">
        <f>_xlfn.XLOOKUP(A133,[2]Sheet2!$C:$C,[2]Sheet2!$B:$B,"")</f>
        <v/>
      </c>
      <c r="F133" t="str">
        <f>_xlfn.XLOOKUP(A133,'[3]Monthly-Evolution-of-the-Purch'!$C:$C,'[3]Monthly-Evolution-of-the-Purch'!$B:$B,"")</f>
        <v/>
      </c>
      <c r="G133" t="str">
        <f>_xlfn.XLOOKUP(A133,[4]NGDPRSAXDCSAQ_PCH!$A:$A,[5]NGDPRSAXDCSAQ_PCH!$B:$B,"")</f>
        <v/>
      </c>
    </row>
    <row r="134" spans="1:7" x14ac:dyDescent="0.2">
      <c r="A134" s="3">
        <v>35916</v>
      </c>
      <c r="B134" s="2">
        <v>14.363157894736844</v>
      </c>
      <c r="C134" t="e">
        <v>#NUM!</v>
      </c>
      <c r="D134" t="str">
        <f>_xlfn.XLOOKUP(A134,[1]Sheet2!$C:$C,[1]Sheet2!$B:$B,"")</f>
        <v/>
      </c>
      <c r="E134" t="str">
        <f>_xlfn.XLOOKUP(A134,[2]Sheet2!$C:$C,[2]Sheet2!$B:$B,"")</f>
        <v/>
      </c>
      <c r="F134" t="str">
        <f>_xlfn.XLOOKUP(A134,'[3]Monthly-Evolution-of-the-Purch'!$C:$C,'[3]Monthly-Evolution-of-the-Purch'!$B:$B,"")</f>
        <v/>
      </c>
      <c r="G134" t="str">
        <f>_xlfn.XLOOKUP(A134,[4]NGDPRSAXDCSAQ_PCH!$A:$A,[5]NGDPRSAXDCSAQ_PCH!$B:$B,"")</f>
        <v/>
      </c>
    </row>
    <row r="135" spans="1:7" x14ac:dyDescent="0.2">
      <c r="A135" s="3">
        <v>35947</v>
      </c>
      <c r="B135" s="2">
        <v>12.206363636363637</v>
      </c>
      <c r="C135">
        <v>3.7354370889192363E-2</v>
      </c>
      <c r="D135" t="str">
        <f>_xlfn.XLOOKUP(A135,[1]Sheet2!$C:$C,[1]Sheet2!$B:$B,"")</f>
        <v/>
      </c>
      <c r="E135" t="str">
        <f>_xlfn.XLOOKUP(A135,[2]Sheet2!$C:$C,[2]Sheet2!$B:$B,"")</f>
        <v/>
      </c>
      <c r="F135" t="str">
        <f>_xlfn.XLOOKUP(A135,'[3]Monthly-Evolution-of-the-Purch'!$C:$C,'[3]Monthly-Evolution-of-the-Purch'!$B:$B,"")</f>
        <v/>
      </c>
      <c r="G135" t="str">
        <f>_xlfn.XLOOKUP(A135,[4]NGDPRSAXDCSAQ_PCH!$A:$A,[5]NGDPRSAXDCSAQ_PCH!$B:$B,"")</f>
        <v/>
      </c>
    </row>
    <row r="136" spans="1:7" x14ac:dyDescent="0.2">
      <c r="A136" s="3">
        <v>35977</v>
      </c>
      <c r="B136" s="2">
        <v>12.079565217391306</v>
      </c>
      <c r="C136">
        <v>2.3009897961060368E-2</v>
      </c>
      <c r="D136" t="str">
        <f>_xlfn.XLOOKUP(A136,[1]Sheet2!$C:$C,[1]Sheet2!$B:$B,"")</f>
        <v/>
      </c>
      <c r="E136" t="str">
        <f>_xlfn.XLOOKUP(A136,[2]Sheet2!$C:$C,[2]Sheet2!$B:$B,"")</f>
        <v/>
      </c>
      <c r="F136" t="str">
        <f>_xlfn.XLOOKUP(A136,'[3]Monthly-Evolution-of-the-Purch'!$C:$C,'[3]Monthly-Evolution-of-the-Purch'!$B:$B,"")</f>
        <v/>
      </c>
      <c r="G136" t="str">
        <f>_xlfn.XLOOKUP(A136,[4]NGDPRSAXDCSAQ_PCH!$A:$A,[5]NGDPRSAXDCSAQ_PCH!$B:$B,"")</f>
        <v/>
      </c>
    </row>
    <row r="137" spans="1:7" x14ac:dyDescent="0.2">
      <c r="A137" s="3">
        <v>36008</v>
      </c>
      <c r="B137" s="2">
        <v>11.914000000000003</v>
      </c>
      <c r="C137" t="e">
        <v>#NUM!</v>
      </c>
      <c r="D137" t="str">
        <f>_xlfn.XLOOKUP(A137,[1]Sheet2!$C:$C,[1]Sheet2!$B:$B,"")</f>
        <v/>
      </c>
      <c r="E137" t="str">
        <f>_xlfn.XLOOKUP(A137,[2]Sheet2!$C:$C,[2]Sheet2!$B:$B,"")</f>
        <v/>
      </c>
      <c r="F137" t="str">
        <f>_xlfn.XLOOKUP(A137,'[3]Monthly-Evolution-of-the-Purch'!$C:$C,'[3]Monthly-Evolution-of-the-Purch'!$B:$B,"")</f>
        <v/>
      </c>
      <c r="G137" t="str">
        <f>_xlfn.XLOOKUP(A137,[4]NGDPRSAXDCSAQ_PCH!$A:$A,[5]NGDPRSAXDCSAQ_PCH!$B:$B,"")</f>
        <v/>
      </c>
    </row>
    <row r="138" spans="1:7" x14ac:dyDescent="0.2">
      <c r="A138" s="3">
        <v>36039</v>
      </c>
      <c r="B138" s="2">
        <v>13.343636363636364</v>
      </c>
      <c r="C138">
        <v>2.375103195642277E-2</v>
      </c>
      <c r="D138" t="str">
        <f>_xlfn.XLOOKUP(A138,[1]Sheet2!$C:$C,[1]Sheet2!$B:$B,"")</f>
        <v/>
      </c>
      <c r="E138" t="str">
        <f>_xlfn.XLOOKUP(A138,[2]Sheet2!$C:$C,[2]Sheet2!$B:$B,"")</f>
        <v/>
      </c>
      <c r="F138" t="str">
        <f>_xlfn.XLOOKUP(A138,'[3]Monthly-Evolution-of-the-Purch'!$C:$C,'[3]Monthly-Evolution-of-the-Purch'!$B:$B,"")</f>
        <v/>
      </c>
      <c r="G138" t="str">
        <f>_xlfn.XLOOKUP(A138,[4]NGDPRSAXDCSAQ_PCH!$A:$A,[5]NGDPRSAXDCSAQ_PCH!$B:$B,"")</f>
        <v/>
      </c>
    </row>
    <row r="139" spans="1:7" x14ac:dyDescent="0.2">
      <c r="A139" s="3">
        <v>36069</v>
      </c>
      <c r="B139" s="2">
        <v>12.702272727272726</v>
      </c>
      <c r="C139">
        <v>3.0073170144213925E-2</v>
      </c>
      <c r="D139" t="str">
        <f>_xlfn.XLOOKUP(A139,[1]Sheet2!$C:$C,[1]Sheet2!$B:$B,"")</f>
        <v/>
      </c>
      <c r="E139" t="str">
        <f>_xlfn.XLOOKUP(A139,[2]Sheet2!$C:$C,[2]Sheet2!$B:$B,"")</f>
        <v/>
      </c>
      <c r="F139" t="str">
        <f>_xlfn.XLOOKUP(A139,'[3]Monthly-Evolution-of-the-Purch'!$C:$C,'[3]Monthly-Evolution-of-the-Purch'!$B:$B,"")</f>
        <v/>
      </c>
      <c r="G139" t="str">
        <f>_xlfn.XLOOKUP(A139,[4]NGDPRSAXDCSAQ_PCH!$A:$A,[5]NGDPRSAXDCSAQ_PCH!$B:$B,"")</f>
        <v/>
      </c>
    </row>
    <row r="140" spans="1:7" x14ac:dyDescent="0.2">
      <c r="A140" s="3">
        <v>36100</v>
      </c>
      <c r="B140" s="2">
        <v>11.039047619047619</v>
      </c>
      <c r="C140">
        <v>2.6923331645662223E-2</v>
      </c>
      <c r="D140" t="str">
        <f>_xlfn.XLOOKUP(A140,[1]Sheet2!$C:$C,[1]Sheet2!$B:$B,"")</f>
        <v/>
      </c>
      <c r="E140" t="str">
        <f>_xlfn.XLOOKUP(A140,[2]Sheet2!$C:$C,[2]Sheet2!$B:$B,"")</f>
        <v/>
      </c>
      <c r="F140" t="str">
        <f>_xlfn.XLOOKUP(A140,'[3]Monthly-Evolution-of-the-Purch'!$C:$C,'[3]Monthly-Evolution-of-the-Purch'!$B:$B,"")</f>
        <v/>
      </c>
      <c r="G140" t="str">
        <f>_xlfn.XLOOKUP(A140,[4]NGDPRSAXDCSAQ_PCH!$A:$A,[5]NGDPRSAXDCSAQ_PCH!$B:$B,"")</f>
        <v/>
      </c>
    </row>
    <row r="141" spans="1:7" x14ac:dyDescent="0.2">
      <c r="A141" s="3">
        <v>36130</v>
      </c>
      <c r="B141" s="2">
        <v>9.824285714285713</v>
      </c>
      <c r="C141" t="e">
        <v>#NUM!</v>
      </c>
      <c r="D141" t="str">
        <f>_xlfn.XLOOKUP(A141,[1]Sheet2!$C:$C,[1]Sheet2!$B:$B,"")</f>
        <v/>
      </c>
      <c r="E141" t="str">
        <f>_xlfn.XLOOKUP(A141,[2]Sheet2!$C:$C,[2]Sheet2!$B:$B,"")</f>
        <v/>
      </c>
      <c r="F141" t="str">
        <f>_xlfn.XLOOKUP(A141,'[3]Monthly-Evolution-of-the-Purch'!$C:$C,'[3]Monthly-Evolution-of-the-Purch'!$B:$B,"")</f>
        <v/>
      </c>
      <c r="G141" t="str">
        <f>_xlfn.XLOOKUP(A141,[4]NGDPRSAXDCSAQ_PCH!$A:$A,[5]NGDPRSAXDCSAQ_PCH!$B:$B,"")</f>
        <v/>
      </c>
    </row>
    <row r="142" spans="1:7" x14ac:dyDescent="0.2">
      <c r="A142" s="3">
        <v>36161</v>
      </c>
      <c r="B142" s="2">
        <v>11.1145</v>
      </c>
      <c r="C142" t="e">
        <v>#DIV/0!</v>
      </c>
      <c r="D142" t="str">
        <f>_xlfn.XLOOKUP(A142,[1]Sheet2!$C:$C,[1]Sheet2!$B:$B,"")</f>
        <v/>
      </c>
      <c r="E142" t="str">
        <f>_xlfn.XLOOKUP(A142,[2]Sheet2!$C:$C,[2]Sheet2!$B:$B,"")</f>
        <v/>
      </c>
      <c r="F142" t="str">
        <f>_xlfn.XLOOKUP(A142,'[3]Monthly-Evolution-of-the-Purch'!$C:$C,'[3]Monthly-Evolution-of-the-Purch'!$B:$B,"")</f>
        <v/>
      </c>
      <c r="G142" t="str">
        <f>_xlfn.XLOOKUP(A142,[4]NGDPRSAXDCSAQ_PCH!$A:$A,[5]NGDPRSAXDCSAQ_PCH!$B:$B,"")</f>
        <v/>
      </c>
    </row>
    <row r="143" spans="1:7" x14ac:dyDescent="0.2">
      <c r="A143" s="3">
        <v>36192</v>
      </c>
      <c r="B143" s="2">
        <v>10.271578947368422</v>
      </c>
      <c r="C143" t="e">
        <v>#NUM!</v>
      </c>
      <c r="D143" t="str">
        <f>_xlfn.XLOOKUP(A143,[1]Sheet2!$C:$C,[1]Sheet2!$B:$B,"")</f>
        <v/>
      </c>
      <c r="E143" t="str">
        <f>_xlfn.XLOOKUP(A143,[2]Sheet2!$C:$C,[2]Sheet2!$B:$B,"")</f>
        <v/>
      </c>
      <c r="F143" t="str">
        <f>_xlfn.XLOOKUP(A143,'[3]Monthly-Evolution-of-the-Purch'!$C:$C,'[3]Monthly-Evolution-of-the-Purch'!$B:$B,"")</f>
        <v/>
      </c>
      <c r="G143" t="str">
        <f>_xlfn.XLOOKUP(A143,[4]NGDPRSAXDCSAQ_PCH!$A:$A,[5]NGDPRSAXDCSAQ_PCH!$B:$B,"")</f>
        <v/>
      </c>
    </row>
    <row r="144" spans="1:7" x14ac:dyDescent="0.2">
      <c r="A144" s="3">
        <v>36220</v>
      </c>
      <c r="B144" s="2">
        <v>12.511304347826087</v>
      </c>
      <c r="C144">
        <v>2.5581046816866158E-2</v>
      </c>
      <c r="D144" t="str">
        <f>_xlfn.XLOOKUP(A144,[1]Sheet2!$C:$C,[1]Sheet2!$B:$B,"")</f>
        <v/>
      </c>
      <c r="E144" t="str">
        <f>_xlfn.XLOOKUP(A144,[2]Sheet2!$C:$C,[2]Sheet2!$B:$B,"")</f>
        <v/>
      </c>
      <c r="F144" t="str">
        <f>_xlfn.XLOOKUP(A144,'[3]Monthly-Evolution-of-the-Purch'!$C:$C,'[3]Monthly-Evolution-of-the-Purch'!$B:$B,"")</f>
        <v/>
      </c>
      <c r="G144" t="str">
        <f>_xlfn.XLOOKUP(A144,[4]NGDPRSAXDCSAQ_PCH!$A:$A,[5]NGDPRSAXDCSAQ_PCH!$B:$B,"")</f>
        <v/>
      </c>
    </row>
    <row r="145" spans="1:7" x14ac:dyDescent="0.2">
      <c r="A145" s="3">
        <v>36251</v>
      </c>
      <c r="B145" s="2">
        <v>15.294499999999996</v>
      </c>
      <c r="C145" t="e">
        <v>#NUM!</v>
      </c>
      <c r="D145" t="str">
        <f>_xlfn.XLOOKUP(A145,[1]Sheet2!$C:$C,[1]Sheet2!$B:$B,"")</f>
        <v/>
      </c>
      <c r="E145" t="str">
        <f>_xlfn.XLOOKUP(A145,[2]Sheet2!$C:$C,[2]Sheet2!$B:$B,"")</f>
        <v/>
      </c>
      <c r="F145" t="str">
        <f>_xlfn.XLOOKUP(A145,'[3]Monthly-Evolution-of-the-Purch'!$C:$C,'[3]Monthly-Evolution-of-the-Purch'!$B:$B,"")</f>
        <v/>
      </c>
      <c r="G145" t="str">
        <f>_xlfn.XLOOKUP(A145,[4]NGDPRSAXDCSAQ_PCH!$A:$A,[5]NGDPRSAXDCSAQ_PCH!$B:$B,"")</f>
        <v/>
      </c>
    </row>
    <row r="146" spans="1:7" x14ac:dyDescent="0.2">
      <c r="A146" s="3">
        <v>36281</v>
      </c>
      <c r="B146" s="2">
        <v>15.225263157894739</v>
      </c>
      <c r="C146" t="e">
        <v>#DIV/0!</v>
      </c>
      <c r="D146" t="str">
        <f>_xlfn.XLOOKUP(A146,[1]Sheet2!$C:$C,[1]Sheet2!$B:$B,"")</f>
        <v/>
      </c>
      <c r="E146" t="str">
        <f>_xlfn.XLOOKUP(A146,[2]Sheet2!$C:$C,[2]Sheet2!$B:$B,"")</f>
        <v/>
      </c>
      <c r="F146" t="str">
        <f>_xlfn.XLOOKUP(A146,'[3]Monthly-Evolution-of-the-Purch'!$C:$C,'[3]Monthly-Evolution-of-the-Purch'!$B:$B,"")</f>
        <v/>
      </c>
      <c r="G146" t="str">
        <f>_xlfn.XLOOKUP(A146,[4]NGDPRSAXDCSAQ_PCH!$A:$A,[5]NGDPRSAXDCSAQ_PCH!$B:$B,"")</f>
        <v/>
      </c>
    </row>
    <row r="147" spans="1:7" x14ac:dyDescent="0.2">
      <c r="A147" s="3">
        <v>36312</v>
      </c>
      <c r="B147" s="2">
        <v>15.863181818181818</v>
      </c>
      <c r="C147">
        <v>2.0603580493668987E-2</v>
      </c>
      <c r="D147" t="str">
        <f>_xlfn.XLOOKUP(A147,[1]Sheet2!$C:$C,[1]Sheet2!$B:$B,"")</f>
        <v/>
      </c>
      <c r="E147" t="str">
        <f>_xlfn.XLOOKUP(A147,[2]Sheet2!$C:$C,[2]Sheet2!$B:$B,"")</f>
        <v/>
      </c>
      <c r="F147" t="str">
        <f>_xlfn.XLOOKUP(A147,'[3]Monthly-Evolution-of-the-Purch'!$C:$C,'[3]Monthly-Evolution-of-the-Purch'!$B:$B,"")</f>
        <v/>
      </c>
      <c r="G147" t="str">
        <f>_xlfn.XLOOKUP(A147,[4]NGDPRSAXDCSAQ_PCH!$A:$A,[5]NGDPRSAXDCSAQ_PCH!$B:$B,"")</f>
        <v/>
      </c>
    </row>
    <row r="148" spans="1:7" x14ac:dyDescent="0.2">
      <c r="A148" s="3">
        <v>36342</v>
      </c>
      <c r="B148" s="2">
        <v>19.079999999999998</v>
      </c>
      <c r="C148" t="e">
        <v>#NUM!</v>
      </c>
      <c r="D148" t="str">
        <f>_xlfn.XLOOKUP(A148,[1]Sheet2!$C:$C,[1]Sheet2!$B:$B,"")</f>
        <v/>
      </c>
      <c r="E148" t="str">
        <f>_xlfn.XLOOKUP(A148,[2]Sheet2!$C:$C,[2]Sheet2!$B:$B,"")</f>
        <v/>
      </c>
      <c r="F148" t="str">
        <f>_xlfn.XLOOKUP(A148,'[3]Monthly-Evolution-of-the-Purch'!$C:$C,'[3]Monthly-Evolution-of-the-Purch'!$B:$B,"")</f>
        <v/>
      </c>
      <c r="G148" t="str">
        <f>_xlfn.XLOOKUP(A148,[4]NGDPRSAXDCSAQ_PCH!$A:$A,[5]NGDPRSAXDCSAQ_PCH!$B:$B,"")</f>
        <v/>
      </c>
    </row>
    <row r="149" spans="1:7" x14ac:dyDescent="0.2">
      <c r="A149" s="3">
        <v>36373</v>
      </c>
      <c r="B149" s="2">
        <v>20.219047619047622</v>
      </c>
      <c r="C149" t="e">
        <v>#NUM!</v>
      </c>
      <c r="D149" t="str">
        <f>_xlfn.XLOOKUP(A149,[1]Sheet2!$C:$C,[1]Sheet2!$B:$B,"")</f>
        <v/>
      </c>
      <c r="E149" t="str">
        <f>_xlfn.XLOOKUP(A149,[2]Sheet2!$C:$C,[2]Sheet2!$B:$B,"")</f>
        <v/>
      </c>
      <c r="F149" t="str">
        <f>_xlfn.XLOOKUP(A149,'[3]Monthly-Evolution-of-the-Purch'!$C:$C,'[3]Monthly-Evolution-of-the-Purch'!$B:$B,"")</f>
        <v/>
      </c>
      <c r="G149" t="str">
        <f>_xlfn.XLOOKUP(A149,[4]NGDPRSAXDCSAQ_PCH!$A:$A,[5]NGDPRSAXDCSAQ_PCH!$B:$B,"")</f>
        <v/>
      </c>
    </row>
    <row r="150" spans="1:7" x14ac:dyDescent="0.2">
      <c r="A150" s="3">
        <v>36404</v>
      </c>
      <c r="B150" s="2">
        <v>22.543181818181822</v>
      </c>
      <c r="C150">
        <v>1.6239018382277565E-2</v>
      </c>
      <c r="D150" t="str">
        <f>_xlfn.XLOOKUP(A150,[1]Sheet2!$C:$C,[1]Sheet2!$B:$B,"")</f>
        <v/>
      </c>
      <c r="E150" t="str">
        <f>_xlfn.XLOOKUP(A150,[2]Sheet2!$C:$C,[2]Sheet2!$B:$B,"")</f>
        <v/>
      </c>
      <c r="F150" t="str">
        <f>_xlfn.XLOOKUP(A150,'[3]Monthly-Evolution-of-the-Purch'!$C:$C,'[3]Monthly-Evolution-of-the-Purch'!$B:$B,"")</f>
        <v/>
      </c>
      <c r="G150" t="str">
        <f>_xlfn.XLOOKUP(A150,[4]NGDPRSAXDCSAQ_PCH!$A:$A,[5]NGDPRSAXDCSAQ_PCH!$B:$B,"")</f>
        <v/>
      </c>
    </row>
    <row r="151" spans="1:7" x14ac:dyDescent="0.2">
      <c r="A151" s="3">
        <v>36434</v>
      </c>
      <c r="B151" s="2">
        <v>22.00238095238095</v>
      </c>
      <c r="C151">
        <v>2.9620321916749001E-2</v>
      </c>
      <c r="D151" t="str">
        <f>_xlfn.XLOOKUP(A151,[1]Sheet2!$C:$C,[1]Sheet2!$B:$B,"")</f>
        <v/>
      </c>
      <c r="E151" t="str">
        <f>_xlfn.XLOOKUP(A151,[2]Sheet2!$C:$C,[2]Sheet2!$B:$B,"")</f>
        <v/>
      </c>
      <c r="F151" t="str">
        <f>_xlfn.XLOOKUP(A151,'[3]Monthly-Evolution-of-the-Purch'!$C:$C,'[3]Monthly-Evolution-of-the-Purch'!$B:$B,"")</f>
        <v/>
      </c>
      <c r="G151" t="str">
        <f>_xlfn.XLOOKUP(A151,[4]NGDPRSAXDCSAQ_PCH!$A:$A,[5]NGDPRSAXDCSAQ_PCH!$B:$B,"")</f>
        <v/>
      </c>
    </row>
    <row r="152" spans="1:7" x14ac:dyDescent="0.2">
      <c r="A152" s="3">
        <v>36465</v>
      </c>
      <c r="B152" s="2">
        <v>24.584090909090911</v>
      </c>
      <c r="C152">
        <v>2.2303359970035019E-2</v>
      </c>
      <c r="D152" t="str">
        <f>_xlfn.XLOOKUP(A152,[1]Sheet2!$C:$C,[1]Sheet2!$B:$B,"")</f>
        <v/>
      </c>
      <c r="E152" t="str">
        <f>_xlfn.XLOOKUP(A152,[2]Sheet2!$C:$C,[2]Sheet2!$B:$B,"")</f>
        <v/>
      </c>
      <c r="F152" t="str">
        <f>_xlfn.XLOOKUP(A152,'[3]Monthly-Evolution-of-the-Purch'!$C:$C,'[3]Monthly-Evolution-of-the-Purch'!$B:$B,"")</f>
        <v/>
      </c>
      <c r="G152" t="str">
        <f>_xlfn.XLOOKUP(A152,[4]NGDPRSAXDCSAQ_PCH!$A:$A,[5]NGDPRSAXDCSAQ_PCH!$B:$B,"")</f>
        <v/>
      </c>
    </row>
    <row r="153" spans="1:7" x14ac:dyDescent="0.2">
      <c r="A153" s="3">
        <v>36495</v>
      </c>
      <c r="B153" s="2">
        <v>25.473157894736843</v>
      </c>
      <c r="C153" t="e">
        <v>#NUM!</v>
      </c>
      <c r="D153" t="str">
        <f>_xlfn.XLOOKUP(A153,[1]Sheet2!$C:$C,[1]Sheet2!$B:$B,"")</f>
        <v/>
      </c>
      <c r="E153" t="str">
        <f>_xlfn.XLOOKUP(A153,[2]Sheet2!$C:$C,[2]Sheet2!$B:$B,"")</f>
        <v/>
      </c>
      <c r="F153" t="str">
        <f>_xlfn.XLOOKUP(A153,'[3]Monthly-Evolution-of-the-Purch'!$C:$C,'[3]Monthly-Evolution-of-the-Purch'!$B:$B,"")</f>
        <v/>
      </c>
      <c r="G153" t="str">
        <f>_xlfn.XLOOKUP(A153,[4]NGDPRSAXDCSAQ_PCH!$A:$A,[5]NGDPRSAXDCSAQ_PCH!$B:$B,"")</f>
        <v/>
      </c>
    </row>
    <row r="154" spans="1:7" x14ac:dyDescent="0.2">
      <c r="A154" s="3">
        <v>36526</v>
      </c>
      <c r="B154" s="2">
        <v>25.510999999999999</v>
      </c>
      <c r="C154" t="e">
        <v>#DIV/0!</v>
      </c>
      <c r="D154" t="str">
        <f>_xlfn.XLOOKUP(A154,[1]Sheet2!$C:$C,[1]Sheet2!$B:$B,"")</f>
        <v/>
      </c>
      <c r="E154" t="str">
        <f>_xlfn.XLOOKUP(A154,[2]Sheet2!$C:$C,[2]Sheet2!$B:$B,"")</f>
        <v/>
      </c>
      <c r="F154" t="str">
        <f>_xlfn.XLOOKUP(A154,'[3]Monthly-Evolution-of-the-Purch'!$C:$C,'[3]Monthly-Evolution-of-the-Purch'!$B:$B,"")</f>
        <v/>
      </c>
      <c r="G154" t="str">
        <f>_xlfn.XLOOKUP(A154,[4]NGDPRSAXDCSAQ_PCH!$A:$A,[5]NGDPRSAXDCSAQ_PCH!$B:$B,"")</f>
        <v/>
      </c>
    </row>
    <row r="155" spans="1:7" x14ac:dyDescent="0.2">
      <c r="A155" s="3">
        <v>36557</v>
      </c>
      <c r="B155" s="2">
        <v>27.77571428571429</v>
      </c>
      <c r="C155">
        <v>1.2982508902621469E-2</v>
      </c>
      <c r="D155" t="str">
        <f>_xlfn.XLOOKUP(A155,[1]Sheet2!$C:$C,[1]Sheet2!$B:$B,"")</f>
        <v/>
      </c>
      <c r="E155" t="str">
        <f>_xlfn.XLOOKUP(A155,[2]Sheet2!$C:$C,[2]Sheet2!$B:$B,"")</f>
        <v/>
      </c>
      <c r="F155" t="str">
        <f>_xlfn.XLOOKUP(A155,'[3]Monthly-Evolution-of-the-Purch'!$C:$C,'[3]Monthly-Evolution-of-the-Purch'!$B:$B,"")</f>
        <v/>
      </c>
      <c r="G155" t="str">
        <f>_xlfn.XLOOKUP(A155,[4]NGDPRSAXDCSAQ_PCH!$A:$A,[5]NGDPRSAXDCSAQ_PCH!$B:$B,"")</f>
        <v/>
      </c>
    </row>
    <row r="156" spans="1:7" x14ac:dyDescent="0.2">
      <c r="A156" s="3">
        <v>36586</v>
      </c>
      <c r="B156" s="2">
        <v>27.486086956521742</v>
      </c>
      <c r="C156">
        <v>3.1899899836716927E-2</v>
      </c>
      <c r="D156" t="str">
        <f>_xlfn.XLOOKUP(A156,[1]Sheet2!$C:$C,[1]Sheet2!$B:$B,"")</f>
        <v/>
      </c>
      <c r="E156" t="str">
        <f>_xlfn.XLOOKUP(A156,[2]Sheet2!$C:$C,[2]Sheet2!$B:$B,"")</f>
        <v/>
      </c>
      <c r="F156" t="str">
        <f>_xlfn.XLOOKUP(A156,'[3]Monthly-Evolution-of-the-Purch'!$C:$C,'[3]Monthly-Evolution-of-the-Purch'!$B:$B,"")</f>
        <v/>
      </c>
      <c r="G156" t="str">
        <f>_xlfn.XLOOKUP(A156,[4]NGDPRSAXDCSAQ_PCH!$A:$A,[5]NGDPRSAXDCSAQ_PCH!$B:$B,"")</f>
        <v/>
      </c>
    </row>
    <row r="157" spans="1:7" x14ac:dyDescent="0.2">
      <c r="A157" s="3">
        <v>36617</v>
      </c>
      <c r="B157" s="2">
        <v>22.764444444444443</v>
      </c>
      <c r="C157" t="e">
        <v>#NUM!</v>
      </c>
      <c r="D157" t="str">
        <f>_xlfn.XLOOKUP(A157,[1]Sheet2!$C:$C,[1]Sheet2!$B:$B,"")</f>
        <v/>
      </c>
      <c r="E157" t="str">
        <f>_xlfn.XLOOKUP(A157,[2]Sheet2!$C:$C,[2]Sheet2!$B:$B,"")</f>
        <v/>
      </c>
      <c r="F157" t="str">
        <f>_xlfn.XLOOKUP(A157,'[3]Monthly-Evolution-of-the-Purch'!$C:$C,'[3]Monthly-Evolution-of-the-Purch'!$B:$B,"")</f>
        <v/>
      </c>
      <c r="G157" t="str">
        <f>_xlfn.XLOOKUP(A157,[4]NGDPRSAXDCSAQ_PCH!$A:$A,[5]NGDPRSAXDCSAQ_PCH!$B:$B,"")</f>
        <v/>
      </c>
    </row>
    <row r="158" spans="1:7" x14ac:dyDescent="0.2">
      <c r="A158" s="3">
        <v>36647</v>
      </c>
      <c r="B158" s="2">
        <v>27.737619047619042</v>
      </c>
      <c r="C158" t="e">
        <v>#DIV/0!</v>
      </c>
      <c r="D158" t="str">
        <f>_xlfn.XLOOKUP(A158,[1]Sheet2!$C:$C,[1]Sheet2!$B:$B,"")</f>
        <v/>
      </c>
      <c r="E158" t="str">
        <f>_xlfn.XLOOKUP(A158,[2]Sheet2!$C:$C,[2]Sheet2!$B:$B,"")</f>
        <v/>
      </c>
      <c r="F158" t="str">
        <f>_xlfn.XLOOKUP(A158,'[3]Monthly-Evolution-of-the-Purch'!$C:$C,'[3]Monthly-Evolution-of-the-Purch'!$B:$B,"")</f>
        <v/>
      </c>
      <c r="G158" t="str">
        <f>_xlfn.XLOOKUP(A158,[4]NGDPRSAXDCSAQ_PCH!$A:$A,[5]NGDPRSAXDCSAQ_PCH!$B:$B,"")</f>
        <v/>
      </c>
    </row>
    <row r="159" spans="1:7" x14ac:dyDescent="0.2">
      <c r="A159" s="3">
        <v>36678</v>
      </c>
      <c r="B159" s="2">
        <v>29.795454545454547</v>
      </c>
      <c r="C159">
        <v>2.5899681351302727E-2</v>
      </c>
      <c r="D159" t="str">
        <f>_xlfn.XLOOKUP(A159,[1]Sheet2!$C:$C,[1]Sheet2!$B:$B,"")</f>
        <v/>
      </c>
      <c r="E159" t="str">
        <f>_xlfn.XLOOKUP(A159,[2]Sheet2!$C:$C,[2]Sheet2!$B:$B,"")</f>
        <v/>
      </c>
      <c r="F159" t="str">
        <f>_xlfn.XLOOKUP(A159,'[3]Monthly-Evolution-of-the-Purch'!$C:$C,'[3]Monthly-Evolution-of-the-Purch'!$B:$B,"")</f>
        <v/>
      </c>
      <c r="G159" t="str">
        <f>_xlfn.XLOOKUP(A159,[4]NGDPRSAXDCSAQ_PCH!$A:$A,[5]NGDPRSAXDCSAQ_PCH!$B:$B,"")</f>
        <v/>
      </c>
    </row>
    <row r="160" spans="1:7" x14ac:dyDescent="0.2">
      <c r="A160" s="3">
        <v>36708</v>
      </c>
      <c r="B160" s="2">
        <v>28.682380952380949</v>
      </c>
      <c r="C160">
        <v>2.5108138571583099E-2</v>
      </c>
      <c r="D160" t="str">
        <f>_xlfn.XLOOKUP(A160,[1]Sheet2!$C:$C,[1]Sheet2!$B:$B,"")</f>
        <v/>
      </c>
      <c r="E160" t="str">
        <f>_xlfn.XLOOKUP(A160,[2]Sheet2!$C:$C,[2]Sheet2!$B:$B,"")</f>
        <v/>
      </c>
      <c r="F160" t="str">
        <f>_xlfn.XLOOKUP(A160,'[3]Monthly-Evolution-of-the-Purch'!$C:$C,'[3]Monthly-Evolution-of-the-Purch'!$B:$B,"")</f>
        <v/>
      </c>
      <c r="G160" t="str">
        <f>_xlfn.XLOOKUP(A160,[4]NGDPRSAXDCSAQ_PCH!$A:$A,[5]NGDPRSAXDCSAQ_PCH!$B:$B,"")</f>
        <v/>
      </c>
    </row>
    <row r="161" spans="1:7" x14ac:dyDescent="0.2">
      <c r="A161" s="3">
        <v>36739</v>
      </c>
      <c r="B161" s="2">
        <v>30.196086956521732</v>
      </c>
      <c r="C161">
        <v>2.6018198944011767E-2</v>
      </c>
      <c r="D161" t="str">
        <f>_xlfn.XLOOKUP(A161,[1]Sheet2!$C:$C,[1]Sheet2!$B:$B,"")</f>
        <v/>
      </c>
      <c r="E161" t="str">
        <f>_xlfn.XLOOKUP(A161,[2]Sheet2!$C:$C,[2]Sheet2!$B:$B,"")</f>
        <v/>
      </c>
      <c r="F161" t="str">
        <f>_xlfn.XLOOKUP(A161,'[3]Monthly-Evolution-of-the-Purch'!$C:$C,'[3]Monthly-Evolution-of-the-Purch'!$B:$B,"")</f>
        <v/>
      </c>
      <c r="G161" t="str">
        <f>_xlfn.XLOOKUP(A161,[4]NGDPRSAXDCSAQ_PCH!$A:$A,[5]NGDPRSAXDCSAQ_PCH!$B:$B,"")</f>
        <v/>
      </c>
    </row>
    <row r="162" spans="1:7" x14ac:dyDescent="0.2">
      <c r="A162" s="3">
        <v>36770</v>
      </c>
      <c r="B162" s="2">
        <v>33.144761904761907</v>
      </c>
      <c r="C162">
        <v>3.9891140204967937E-2</v>
      </c>
      <c r="D162" t="str">
        <f>_xlfn.XLOOKUP(A162,[1]Sheet2!$C:$C,[1]Sheet2!$B:$B,"")</f>
        <v/>
      </c>
      <c r="E162" t="str">
        <f>_xlfn.XLOOKUP(A162,[2]Sheet2!$C:$C,[2]Sheet2!$B:$B,"")</f>
        <v/>
      </c>
      <c r="F162" t="str">
        <f>_xlfn.XLOOKUP(A162,'[3]Monthly-Evolution-of-the-Purch'!$C:$C,'[3]Monthly-Evolution-of-the-Purch'!$B:$B,"")</f>
        <v/>
      </c>
      <c r="G162" t="str">
        <f>_xlfn.XLOOKUP(A162,[4]NGDPRSAXDCSAQ_PCH!$A:$A,[5]NGDPRSAXDCSAQ_PCH!$B:$B,"")</f>
        <v/>
      </c>
    </row>
    <row r="163" spans="1:7" x14ac:dyDescent="0.2">
      <c r="A163" s="3">
        <v>36800</v>
      </c>
      <c r="B163" s="2">
        <v>30.960909090909091</v>
      </c>
      <c r="C163">
        <v>3.0916703399823955E-2</v>
      </c>
      <c r="D163" t="str">
        <f>_xlfn.XLOOKUP(A163,[1]Sheet2!$C:$C,[1]Sheet2!$B:$B,"")</f>
        <v/>
      </c>
      <c r="E163" t="str">
        <f>_xlfn.XLOOKUP(A163,[2]Sheet2!$C:$C,[2]Sheet2!$B:$B,"")</f>
        <v/>
      </c>
      <c r="F163" t="str">
        <f>_xlfn.XLOOKUP(A163,'[3]Monthly-Evolution-of-the-Purch'!$C:$C,'[3]Monthly-Evolution-of-the-Purch'!$B:$B,"")</f>
        <v/>
      </c>
      <c r="G163" t="str">
        <f>_xlfn.XLOOKUP(A163,[4]NGDPRSAXDCSAQ_PCH!$A:$A,[5]NGDPRSAXDCSAQ_PCH!$B:$B,"")</f>
        <v/>
      </c>
    </row>
    <row r="164" spans="1:7" x14ac:dyDescent="0.2">
      <c r="A164" s="3">
        <v>36831</v>
      </c>
      <c r="B164" s="2">
        <v>32.552272727272729</v>
      </c>
      <c r="C164">
        <v>1.842498142439384E-2</v>
      </c>
      <c r="D164" t="str">
        <f>_xlfn.XLOOKUP(A164,[1]Sheet2!$C:$C,[1]Sheet2!$B:$B,"")</f>
        <v/>
      </c>
      <c r="E164" t="str">
        <f>_xlfn.XLOOKUP(A164,[2]Sheet2!$C:$C,[2]Sheet2!$B:$B,"")</f>
        <v/>
      </c>
      <c r="F164" t="str">
        <f>_xlfn.XLOOKUP(A164,'[3]Monthly-Evolution-of-the-Purch'!$C:$C,'[3]Monthly-Evolution-of-the-Purch'!$B:$B,"")</f>
        <v/>
      </c>
      <c r="G164" t="str">
        <f>_xlfn.XLOOKUP(A164,[4]NGDPRSAXDCSAQ_PCH!$A:$A,[5]NGDPRSAXDCSAQ_PCH!$B:$B,"")</f>
        <v/>
      </c>
    </row>
    <row r="165" spans="1:7" x14ac:dyDescent="0.2">
      <c r="A165" s="3">
        <v>36861</v>
      </c>
      <c r="B165" s="2">
        <v>25.66</v>
      </c>
      <c r="C165" t="e">
        <v>#NUM!</v>
      </c>
      <c r="D165" t="str">
        <f>_xlfn.XLOOKUP(A165,[1]Sheet2!$C:$C,[1]Sheet2!$B:$B,"")</f>
        <v/>
      </c>
      <c r="E165" t="str">
        <f>_xlfn.XLOOKUP(A165,[2]Sheet2!$C:$C,[2]Sheet2!$B:$B,"")</f>
        <v/>
      </c>
      <c r="F165" t="str">
        <f>_xlfn.XLOOKUP(A165,'[3]Monthly-Evolution-of-the-Purch'!$C:$C,'[3]Monthly-Evolution-of-the-Purch'!$B:$B,"")</f>
        <v/>
      </c>
      <c r="G165" t="str">
        <f>_xlfn.XLOOKUP(A165,[4]NGDPRSAXDCSAQ_PCH!$A:$A,[5]NGDPRSAXDCSAQ_PCH!$B:$B,"")</f>
        <v/>
      </c>
    </row>
    <row r="166" spans="1:7" x14ac:dyDescent="0.2">
      <c r="A166" s="3">
        <v>36892</v>
      </c>
      <c r="B166" s="2">
        <v>25.624545454545455</v>
      </c>
      <c r="C166" t="e">
        <v>#DIV/0!</v>
      </c>
      <c r="D166" t="str">
        <f>_xlfn.XLOOKUP(A166,[1]Sheet2!$C:$C,[1]Sheet2!$B:$B,"")</f>
        <v/>
      </c>
      <c r="E166" t="str">
        <f>_xlfn.XLOOKUP(A166,[2]Sheet2!$C:$C,[2]Sheet2!$B:$B,"")</f>
        <v/>
      </c>
      <c r="F166" t="str">
        <f>_xlfn.XLOOKUP(A166,'[3]Monthly-Evolution-of-the-Purch'!$C:$C,'[3]Monthly-Evolution-of-the-Purch'!$B:$B,"")</f>
        <v/>
      </c>
      <c r="G166" t="str">
        <f>_xlfn.XLOOKUP(A166,[4]NGDPRSAXDCSAQ_PCH!$A:$A,[5]NGDPRSAXDCSAQ_PCH!$B:$B,"")</f>
        <v/>
      </c>
    </row>
    <row r="167" spans="1:7" x14ac:dyDescent="0.2">
      <c r="A167" s="3">
        <v>36923</v>
      </c>
      <c r="B167" s="2">
        <v>27.503499999999995</v>
      </c>
      <c r="C167">
        <v>2.7619001577204157E-2</v>
      </c>
      <c r="D167" t="str">
        <f>_xlfn.XLOOKUP(A167,[1]Sheet2!$C:$C,[1]Sheet2!$B:$B,"")</f>
        <v/>
      </c>
      <c r="E167" t="str">
        <f>_xlfn.XLOOKUP(A167,[2]Sheet2!$C:$C,[2]Sheet2!$B:$B,"")</f>
        <v/>
      </c>
      <c r="F167" t="str">
        <f>_xlfn.XLOOKUP(A167,'[3]Monthly-Evolution-of-the-Purch'!$C:$C,'[3]Monthly-Evolution-of-the-Purch'!$B:$B,"")</f>
        <v/>
      </c>
      <c r="G167" t="str">
        <f>_xlfn.XLOOKUP(A167,[4]NGDPRSAXDCSAQ_PCH!$A:$A,[5]NGDPRSAXDCSAQ_PCH!$B:$B,"")</f>
        <v/>
      </c>
    </row>
    <row r="168" spans="1:7" x14ac:dyDescent="0.2">
      <c r="A168" s="3">
        <v>36951</v>
      </c>
      <c r="B168" s="2">
        <v>24.497272727272726</v>
      </c>
      <c r="C168">
        <v>2.0361718080074299E-2</v>
      </c>
      <c r="D168" t="str">
        <f>_xlfn.XLOOKUP(A168,[1]Sheet2!$C:$C,[1]Sheet2!$B:$B,"")</f>
        <v/>
      </c>
      <c r="E168" t="str">
        <f>_xlfn.XLOOKUP(A168,[2]Sheet2!$C:$C,[2]Sheet2!$B:$B,"")</f>
        <v/>
      </c>
      <c r="F168" t="str">
        <f>_xlfn.XLOOKUP(A168,'[3]Monthly-Evolution-of-the-Purch'!$C:$C,'[3]Monthly-Evolution-of-the-Purch'!$B:$B,"")</f>
        <v/>
      </c>
      <c r="G168" t="str">
        <f>_xlfn.XLOOKUP(A168,[4]NGDPRSAXDCSAQ_PCH!$A:$A,[5]NGDPRSAXDCSAQ_PCH!$B:$B,"")</f>
        <v/>
      </c>
    </row>
    <row r="169" spans="1:7" x14ac:dyDescent="0.2">
      <c r="A169" s="3">
        <v>36982</v>
      </c>
      <c r="B169" s="2">
        <v>25.657142857142862</v>
      </c>
      <c r="C169">
        <v>2.313774161051825E-2</v>
      </c>
      <c r="D169" t="str">
        <f>_xlfn.XLOOKUP(A169,[1]Sheet2!$C:$C,[1]Sheet2!$B:$B,"")</f>
        <v/>
      </c>
      <c r="E169" t="str">
        <f>_xlfn.XLOOKUP(A169,[2]Sheet2!$C:$C,[2]Sheet2!$B:$B,"")</f>
        <v/>
      </c>
      <c r="F169" t="str">
        <f>_xlfn.XLOOKUP(A169,'[3]Monthly-Evolution-of-the-Purch'!$C:$C,'[3]Monthly-Evolution-of-the-Purch'!$B:$B,"")</f>
        <v/>
      </c>
      <c r="G169" t="str">
        <f>_xlfn.XLOOKUP(A169,[4]NGDPRSAXDCSAQ_PCH!$A:$A,[5]NGDPRSAXDCSAQ_PCH!$B:$B,"")</f>
        <v/>
      </c>
    </row>
    <row r="170" spans="1:7" x14ac:dyDescent="0.2">
      <c r="A170" s="3">
        <v>37012</v>
      </c>
      <c r="B170" s="2">
        <v>28.313636363636363</v>
      </c>
      <c r="C170" t="e">
        <v>#NUM!</v>
      </c>
      <c r="D170" t="str">
        <f>_xlfn.XLOOKUP(A170,[1]Sheet2!$C:$C,[1]Sheet2!$B:$B,"")</f>
        <v/>
      </c>
      <c r="E170" t="str">
        <f>_xlfn.XLOOKUP(A170,[2]Sheet2!$C:$C,[2]Sheet2!$B:$B,"")</f>
        <v/>
      </c>
      <c r="F170" t="str">
        <f>_xlfn.XLOOKUP(A170,'[3]Monthly-Evolution-of-the-Purch'!$C:$C,'[3]Monthly-Evolution-of-the-Purch'!$B:$B,"")</f>
        <v/>
      </c>
      <c r="G170" t="str">
        <f>_xlfn.XLOOKUP(A170,[4]NGDPRSAXDCSAQ_PCH!$A:$A,[5]NGDPRSAXDCSAQ_PCH!$B:$B,"")</f>
        <v/>
      </c>
    </row>
    <row r="171" spans="1:7" x14ac:dyDescent="0.2">
      <c r="A171" s="3">
        <v>37043</v>
      </c>
      <c r="B171" s="2">
        <v>27.849047619047621</v>
      </c>
      <c r="C171">
        <v>2.0141369122623699E-2</v>
      </c>
      <c r="D171" t="str">
        <f>_xlfn.XLOOKUP(A171,[1]Sheet2!$C:$C,[1]Sheet2!$B:$B,"")</f>
        <v/>
      </c>
      <c r="E171" t="str">
        <f>_xlfn.XLOOKUP(A171,[2]Sheet2!$C:$C,[2]Sheet2!$B:$B,"")</f>
        <v/>
      </c>
      <c r="F171" t="str">
        <f>_xlfn.XLOOKUP(A171,'[3]Monthly-Evolution-of-the-Purch'!$C:$C,'[3]Monthly-Evolution-of-the-Purch'!$B:$B,"")</f>
        <v/>
      </c>
      <c r="G171" t="str">
        <f>_xlfn.XLOOKUP(A171,[4]NGDPRSAXDCSAQ_PCH!$A:$A,[5]NGDPRSAXDCSAQ_PCH!$B:$B,"")</f>
        <v/>
      </c>
    </row>
    <row r="172" spans="1:7" x14ac:dyDescent="0.2">
      <c r="A172" s="3">
        <v>37073</v>
      </c>
      <c r="B172" s="2">
        <v>24.613636363636363</v>
      </c>
      <c r="C172">
        <v>2.1679368292191935E-2</v>
      </c>
      <c r="D172" t="str">
        <f>_xlfn.XLOOKUP(A172,[1]Sheet2!$C:$C,[1]Sheet2!$B:$B,"")</f>
        <v/>
      </c>
      <c r="E172" t="str">
        <f>_xlfn.XLOOKUP(A172,[2]Sheet2!$C:$C,[2]Sheet2!$B:$B,"")</f>
        <v/>
      </c>
      <c r="F172" t="str">
        <f>_xlfn.XLOOKUP(A172,'[3]Monthly-Evolution-of-the-Purch'!$C:$C,'[3]Monthly-Evolution-of-the-Purch'!$B:$B,"")</f>
        <v/>
      </c>
      <c r="G172" t="str">
        <f>_xlfn.XLOOKUP(A172,[4]NGDPRSAXDCSAQ_PCH!$A:$A,[5]NGDPRSAXDCSAQ_PCH!$B:$B,"")</f>
        <v/>
      </c>
    </row>
    <row r="173" spans="1:7" x14ac:dyDescent="0.2">
      <c r="A173" s="3">
        <v>37104</v>
      </c>
      <c r="B173" s="2">
        <v>25.68</v>
      </c>
      <c r="C173">
        <v>1.8111923042410903E-2</v>
      </c>
      <c r="D173" t="str">
        <f>_xlfn.XLOOKUP(A173,[1]Sheet2!$C:$C,[1]Sheet2!$B:$B,"")</f>
        <v/>
      </c>
      <c r="E173" t="str">
        <f>_xlfn.XLOOKUP(A173,[2]Sheet2!$C:$C,[2]Sheet2!$B:$B,"")</f>
        <v/>
      </c>
      <c r="F173" t="str">
        <f>_xlfn.XLOOKUP(A173,'[3]Monthly-Evolution-of-the-Purch'!$C:$C,'[3]Monthly-Evolution-of-the-Purch'!$B:$B,"")</f>
        <v/>
      </c>
      <c r="G173" t="str">
        <f>_xlfn.XLOOKUP(A173,[4]NGDPRSAXDCSAQ_PCH!$A:$A,[5]NGDPRSAXDCSAQ_PCH!$B:$B,"")</f>
        <v/>
      </c>
    </row>
    <row r="174" spans="1:7" x14ac:dyDescent="0.2">
      <c r="A174" s="3">
        <v>37135</v>
      </c>
      <c r="B174" s="2">
        <v>25.619500000000006</v>
      </c>
      <c r="C174">
        <v>5.4268413269210822E-2</v>
      </c>
      <c r="D174" t="str">
        <f>_xlfn.XLOOKUP(A174,[1]Sheet2!$C:$C,[1]Sheet2!$B:$B,"")</f>
        <v/>
      </c>
      <c r="E174" t="str">
        <f>_xlfn.XLOOKUP(A174,[2]Sheet2!$C:$C,[2]Sheet2!$B:$B,"")</f>
        <v/>
      </c>
      <c r="F174" t="str">
        <f>_xlfn.XLOOKUP(A174,'[3]Monthly-Evolution-of-the-Purch'!$C:$C,'[3]Monthly-Evolution-of-the-Purch'!$B:$B,"")</f>
        <v/>
      </c>
      <c r="G174" t="str">
        <f>_xlfn.XLOOKUP(A174,[4]NGDPRSAXDCSAQ_PCH!$A:$A,[5]NGDPRSAXDCSAQ_PCH!$B:$B,"")</f>
        <v/>
      </c>
    </row>
    <row r="175" spans="1:7" x14ac:dyDescent="0.2">
      <c r="A175" s="3">
        <v>37165</v>
      </c>
      <c r="B175" s="2">
        <v>20.537826086956525</v>
      </c>
      <c r="C175">
        <v>2.2951065283358146E-2</v>
      </c>
      <c r="D175" t="str">
        <f>_xlfn.XLOOKUP(A175,[1]Sheet2!$C:$C,[1]Sheet2!$B:$B,"")</f>
        <v/>
      </c>
      <c r="E175" t="str">
        <f>_xlfn.XLOOKUP(A175,[2]Sheet2!$C:$C,[2]Sheet2!$B:$B,"")</f>
        <v/>
      </c>
      <c r="F175" t="str">
        <f>_xlfn.XLOOKUP(A175,'[3]Monthly-Evolution-of-the-Purch'!$C:$C,'[3]Monthly-Evolution-of-the-Purch'!$B:$B,"")</f>
        <v/>
      </c>
      <c r="G175" t="str">
        <f>_xlfn.XLOOKUP(A175,[4]NGDPRSAXDCSAQ_PCH!$A:$A,[5]NGDPRSAXDCSAQ_PCH!$B:$B,"")</f>
        <v/>
      </c>
    </row>
    <row r="176" spans="1:7" x14ac:dyDescent="0.2">
      <c r="A176" s="3">
        <v>37196</v>
      </c>
      <c r="B176" s="2">
        <v>18.797272727272727</v>
      </c>
      <c r="C176">
        <v>5.5493270999744285E-2</v>
      </c>
      <c r="D176" t="str">
        <f>_xlfn.XLOOKUP(A176,[1]Sheet2!$C:$C,[1]Sheet2!$B:$B,"")</f>
        <v/>
      </c>
      <c r="E176" t="str">
        <f>_xlfn.XLOOKUP(A176,[2]Sheet2!$C:$C,[2]Sheet2!$B:$B,"")</f>
        <v/>
      </c>
      <c r="F176" t="str">
        <f>_xlfn.XLOOKUP(A176,'[3]Monthly-Evolution-of-the-Purch'!$C:$C,'[3]Monthly-Evolution-of-the-Purch'!$B:$B,"")</f>
        <v/>
      </c>
      <c r="G176" t="str">
        <f>_xlfn.XLOOKUP(A176,[4]NGDPRSAXDCSAQ_PCH!$A:$A,[5]NGDPRSAXDCSAQ_PCH!$B:$B,"")</f>
        <v/>
      </c>
    </row>
    <row r="177" spans="1:7" x14ac:dyDescent="0.2">
      <c r="A177" s="3">
        <v>37226</v>
      </c>
      <c r="B177" s="2">
        <v>18.705263157894734</v>
      </c>
      <c r="C177" t="e">
        <v>#NUM!</v>
      </c>
      <c r="D177" t="str">
        <f>_xlfn.XLOOKUP(A177,[1]Sheet2!$C:$C,[1]Sheet2!$B:$B,"")</f>
        <v/>
      </c>
      <c r="E177" t="str">
        <f>_xlfn.XLOOKUP(A177,[2]Sheet2!$C:$C,[2]Sheet2!$B:$B,"")</f>
        <v/>
      </c>
      <c r="F177" t="str">
        <f>_xlfn.XLOOKUP(A177,'[3]Monthly-Evolution-of-the-Purch'!$C:$C,'[3]Monthly-Evolution-of-the-Purch'!$B:$B,"")</f>
        <v/>
      </c>
      <c r="G177" t="str">
        <f>_xlfn.XLOOKUP(A177,[4]NGDPRSAXDCSAQ_PCH!$A:$A,[5]NGDPRSAXDCSAQ_PCH!$B:$B,"")</f>
        <v/>
      </c>
    </row>
    <row r="178" spans="1:7" x14ac:dyDescent="0.2">
      <c r="A178" s="3">
        <v>37257</v>
      </c>
      <c r="B178" s="2">
        <v>19.416818181818183</v>
      </c>
      <c r="C178" t="e">
        <v>#DIV/0!</v>
      </c>
      <c r="D178" t="str">
        <f>_xlfn.XLOOKUP(A178,[1]Sheet2!$C:$C,[1]Sheet2!$B:$B,"")</f>
        <v/>
      </c>
      <c r="E178" t="str">
        <f>_xlfn.XLOOKUP(A178,[2]Sheet2!$C:$C,[2]Sheet2!$B:$B,"")</f>
        <v/>
      </c>
      <c r="F178" t="str">
        <f>_xlfn.XLOOKUP(A178,'[3]Monthly-Evolution-of-the-Purch'!$C:$C,'[3]Monthly-Evolution-of-the-Purch'!$B:$B,"")</f>
        <v/>
      </c>
      <c r="G178" t="str">
        <f>_xlfn.XLOOKUP(A178,[4]NGDPRSAXDCSAQ_PCH!$A:$A,[5]NGDPRSAXDCSAQ_PCH!$B:$B,"")</f>
        <v/>
      </c>
    </row>
    <row r="179" spans="1:7" x14ac:dyDescent="0.2">
      <c r="A179" s="3">
        <v>37288</v>
      </c>
      <c r="B179" s="2">
        <v>20.275499999999997</v>
      </c>
      <c r="C179">
        <v>3.0687007151370595E-2</v>
      </c>
      <c r="D179" t="str">
        <f>_xlfn.XLOOKUP(A179,[1]Sheet2!$C:$C,[1]Sheet2!$B:$B,"")</f>
        <v/>
      </c>
      <c r="E179" t="str">
        <f>_xlfn.XLOOKUP(A179,[2]Sheet2!$C:$C,[2]Sheet2!$B:$B,"")</f>
        <v/>
      </c>
      <c r="F179" t="str">
        <f>_xlfn.XLOOKUP(A179,'[3]Monthly-Evolution-of-the-Purch'!$C:$C,'[3]Monthly-Evolution-of-the-Purch'!$B:$B,"")</f>
        <v/>
      </c>
      <c r="G179" t="str">
        <f>_xlfn.XLOOKUP(A179,[4]NGDPRSAXDCSAQ_PCH!$A:$A,[5]NGDPRSAXDCSAQ_PCH!$B:$B,"")</f>
        <v/>
      </c>
    </row>
    <row r="180" spans="1:7" x14ac:dyDescent="0.2">
      <c r="A180" s="3">
        <v>37316</v>
      </c>
      <c r="B180" s="2">
        <v>23.696666666666665</v>
      </c>
      <c r="C180">
        <v>2.1586490289878489E-2</v>
      </c>
      <c r="D180" t="str">
        <f>_xlfn.XLOOKUP(A180,[1]Sheet2!$C:$C,[1]Sheet2!$B:$B,"")</f>
        <v/>
      </c>
      <c r="E180" t="str">
        <f>_xlfn.XLOOKUP(A180,[2]Sheet2!$C:$C,[2]Sheet2!$B:$B,"")</f>
        <v/>
      </c>
      <c r="F180" t="str">
        <f>_xlfn.XLOOKUP(A180,'[3]Monthly-Evolution-of-the-Purch'!$C:$C,'[3]Monthly-Evolution-of-the-Purch'!$B:$B,"")</f>
        <v/>
      </c>
      <c r="G180" t="str">
        <f>_xlfn.XLOOKUP(A180,[4]NGDPRSAXDCSAQ_PCH!$A:$A,[5]NGDPRSAXDCSAQ_PCH!$B:$B,"")</f>
        <v/>
      </c>
    </row>
    <row r="181" spans="1:7" x14ac:dyDescent="0.2">
      <c r="A181" s="3">
        <v>37347</v>
      </c>
      <c r="B181" s="2">
        <v>25.728636363636369</v>
      </c>
      <c r="C181">
        <v>2.7151811666911326E-2</v>
      </c>
      <c r="D181" t="str">
        <f>_xlfn.XLOOKUP(A181,[1]Sheet2!$C:$C,[1]Sheet2!$B:$B,"")</f>
        <v/>
      </c>
      <c r="E181" t="str">
        <f>_xlfn.XLOOKUP(A181,[2]Sheet2!$C:$C,[2]Sheet2!$B:$B,"")</f>
        <v/>
      </c>
      <c r="F181" t="str">
        <f>_xlfn.XLOOKUP(A181,'[3]Monthly-Evolution-of-the-Purch'!$C:$C,'[3]Monthly-Evolution-of-the-Purch'!$B:$B,"")</f>
        <v/>
      </c>
      <c r="G181" t="str">
        <f>_xlfn.XLOOKUP(A181,[4]NGDPRSAXDCSAQ_PCH!$A:$A,[5]NGDPRSAXDCSAQ_PCH!$B:$B,"")</f>
        <v/>
      </c>
    </row>
    <row r="182" spans="1:7" x14ac:dyDescent="0.2">
      <c r="A182" s="3">
        <v>37377</v>
      </c>
      <c r="B182" s="2">
        <v>25.34545454545454</v>
      </c>
      <c r="C182" t="e">
        <v>#NUM!</v>
      </c>
      <c r="D182" t="str">
        <f>_xlfn.XLOOKUP(A182,[1]Sheet2!$C:$C,[1]Sheet2!$B:$B,"")</f>
        <v/>
      </c>
      <c r="E182" t="str">
        <f>_xlfn.XLOOKUP(A182,[2]Sheet2!$C:$C,[2]Sheet2!$B:$B,"")</f>
        <v/>
      </c>
      <c r="F182" t="str">
        <f>_xlfn.XLOOKUP(A182,'[3]Monthly-Evolution-of-the-Purch'!$C:$C,'[3]Monthly-Evolution-of-the-Purch'!$B:$B,"")</f>
        <v/>
      </c>
      <c r="G182" t="str">
        <f>_xlfn.XLOOKUP(A182,[4]NGDPRSAXDCSAQ_PCH!$A:$A,[5]NGDPRSAXDCSAQ_PCH!$B:$B,"")</f>
        <v/>
      </c>
    </row>
    <row r="183" spans="1:7" x14ac:dyDescent="0.2">
      <c r="A183" s="3">
        <v>37408</v>
      </c>
      <c r="B183" s="2">
        <v>24.081666666666663</v>
      </c>
      <c r="C183" t="e">
        <v>#DIV/0!</v>
      </c>
      <c r="D183" t="str">
        <f>_xlfn.XLOOKUP(A183,[1]Sheet2!$C:$C,[1]Sheet2!$B:$B,"")</f>
        <v/>
      </c>
      <c r="E183" t="str">
        <f>_xlfn.XLOOKUP(A183,[2]Sheet2!$C:$C,[2]Sheet2!$B:$B,"")</f>
        <v/>
      </c>
      <c r="F183" t="str">
        <f>_xlfn.XLOOKUP(A183,'[3]Monthly-Evolution-of-the-Purch'!$C:$C,'[3]Monthly-Evolution-of-the-Purch'!$B:$B,"")</f>
        <v/>
      </c>
      <c r="G183" t="str">
        <f>_xlfn.XLOOKUP(A183,[4]NGDPRSAXDCSAQ_PCH!$A:$A,[5]NGDPRSAXDCSAQ_PCH!$B:$B,"")</f>
        <v/>
      </c>
    </row>
    <row r="184" spans="1:7" x14ac:dyDescent="0.2">
      <c r="A184" s="3">
        <v>37438</v>
      </c>
      <c r="B184" s="2">
        <v>25.736086956521742</v>
      </c>
      <c r="C184">
        <v>1.547145905004845E-2</v>
      </c>
      <c r="D184" t="str">
        <f>_xlfn.XLOOKUP(A184,[1]Sheet2!$C:$C,[1]Sheet2!$B:$B,"")</f>
        <v/>
      </c>
      <c r="E184" t="str">
        <f>_xlfn.XLOOKUP(A184,[2]Sheet2!$C:$C,[2]Sheet2!$B:$B,"")</f>
        <v/>
      </c>
      <c r="F184" t="str">
        <f>_xlfn.XLOOKUP(A184,'[3]Monthly-Evolution-of-the-Purch'!$C:$C,'[3]Monthly-Evolution-of-the-Purch'!$B:$B,"")</f>
        <v/>
      </c>
      <c r="G184" t="str">
        <f>_xlfn.XLOOKUP(A184,[4]NGDPRSAXDCSAQ_PCH!$A:$A,[5]NGDPRSAXDCSAQ_PCH!$B:$B,"")</f>
        <v/>
      </c>
    </row>
    <row r="185" spans="1:7" x14ac:dyDescent="0.2">
      <c r="A185" s="3">
        <v>37469</v>
      </c>
      <c r="B185" s="2">
        <v>26.651363636363634</v>
      </c>
      <c r="C185">
        <v>1.2360579377530144E-2</v>
      </c>
      <c r="D185" t="str">
        <f>_xlfn.XLOOKUP(A185,[1]Sheet2!$C:$C,[1]Sheet2!$B:$B,"")</f>
        <v/>
      </c>
      <c r="E185" t="str">
        <f>_xlfn.XLOOKUP(A185,[2]Sheet2!$C:$C,[2]Sheet2!$B:$B,"")</f>
        <v/>
      </c>
      <c r="F185" t="str">
        <f>_xlfn.XLOOKUP(A185,'[3]Monthly-Evolution-of-the-Purch'!$C:$C,'[3]Monthly-Evolution-of-the-Purch'!$B:$B,"")</f>
        <v/>
      </c>
      <c r="G185" t="str">
        <f>_xlfn.XLOOKUP(A185,[4]NGDPRSAXDCSAQ_PCH!$A:$A,[5]NGDPRSAXDCSAQ_PCH!$B:$B,"")</f>
        <v/>
      </c>
    </row>
    <row r="186" spans="1:7" x14ac:dyDescent="0.2">
      <c r="A186" s="3">
        <v>37500</v>
      </c>
      <c r="B186" s="2">
        <v>28.399523809523814</v>
      </c>
      <c r="C186">
        <v>1.8219157808257572E-2</v>
      </c>
      <c r="D186" t="str">
        <f>_xlfn.XLOOKUP(A186,[1]Sheet2!$C:$C,[1]Sheet2!$B:$B,"")</f>
        <v/>
      </c>
      <c r="E186" t="str">
        <f>_xlfn.XLOOKUP(A186,[2]Sheet2!$C:$C,[2]Sheet2!$B:$B,"")</f>
        <v/>
      </c>
      <c r="F186" t="str">
        <f>_xlfn.XLOOKUP(A186,'[3]Monthly-Evolution-of-the-Purch'!$C:$C,'[3]Monthly-Evolution-of-the-Purch'!$B:$B,"")</f>
        <v/>
      </c>
      <c r="G186" t="str">
        <f>_xlfn.XLOOKUP(A186,[4]NGDPRSAXDCSAQ_PCH!$A:$A,[5]NGDPRSAXDCSAQ_PCH!$B:$B,"")</f>
        <v/>
      </c>
    </row>
    <row r="187" spans="1:7" x14ac:dyDescent="0.2">
      <c r="A187" s="3">
        <v>37530</v>
      </c>
      <c r="B187" s="2">
        <v>27.543043478260874</v>
      </c>
      <c r="C187">
        <v>1.5098276739597506E-2</v>
      </c>
      <c r="D187" t="str">
        <f>_xlfn.XLOOKUP(A187,[1]Sheet2!$C:$C,[1]Sheet2!$B:$B,"")</f>
        <v/>
      </c>
      <c r="E187" t="str">
        <f>_xlfn.XLOOKUP(A187,[2]Sheet2!$C:$C,[2]Sheet2!$B:$B,"")</f>
        <v/>
      </c>
      <c r="F187" t="str">
        <f>_xlfn.XLOOKUP(A187,'[3]Monthly-Evolution-of-the-Purch'!$C:$C,'[3]Monthly-Evolution-of-the-Purch'!$B:$B,"")</f>
        <v/>
      </c>
      <c r="G187" t="str">
        <f>_xlfn.XLOOKUP(A187,[4]NGDPRSAXDCSAQ_PCH!$A:$A,[5]NGDPRSAXDCSAQ_PCH!$B:$B,"")</f>
        <v/>
      </c>
    </row>
    <row r="188" spans="1:7" x14ac:dyDescent="0.2">
      <c r="A188" s="3">
        <v>37561</v>
      </c>
      <c r="B188" s="2">
        <v>24.3352380952381</v>
      </c>
      <c r="C188">
        <v>2.1771601144070344E-2</v>
      </c>
      <c r="D188" t="str">
        <f>_xlfn.XLOOKUP(A188,[1]Sheet2!$C:$C,[1]Sheet2!$B:$B,"")</f>
        <v/>
      </c>
      <c r="E188" t="str">
        <f>_xlfn.XLOOKUP(A188,[2]Sheet2!$C:$C,[2]Sheet2!$B:$B,"")</f>
        <v/>
      </c>
      <c r="F188" t="str">
        <f>_xlfn.XLOOKUP(A188,'[3]Monthly-Evolution-of-the-Purch'!$C:$C,'[3]Monthly-Evolution-of-the-Purch'!$B:$B,"")</f>
        <v/>
      </c>
      <c r="G188" t="str">
        <f>_xlfn.XLOOKUP(A188,[4]NGDPRSAXDCSAQ_PCH!$A:$A,[5]NGDPRSAXDCSAQ_PCH!$B:$B,"")</f>
        <v/>
      </c>
    </row>
    <row r="189" spans="1:7" x14ac:dyDescent="0.2">
      <c r="A189" s="3">
        <v>37591</v>
      </c>
      <c r="B189" s="2">
        <v>28.334500000000002</v>
      </c>
      <c r="C189" t="e">
        <v>#NUM!</v>
      </c>
      <c r="D189" t="str">
        <f>_xlfn.XLOOKUP(A189,[1]Sheet2!$C:$C,[1]Sheet2!$B:$B,"")</f>
        <v/>
      </c>
      <c r="E189" t="str">
        <f>_xlfn.XLOOKUP(A189,[2]Sheet2!$C:$C,[2]Sheet2!$B:$B,"")</f>
        <v/>
      </c>
      <c r="F189" t="str">
        <f>_xlfn.XLOOKUP(A189,'[3]Monthly-Evolution-of-the-Purch'!$C:$C,'[3]Monthly-Evolution-of-the-Purch'!$B:$B,"")</f>
        <v/>
      </c>
      <c r="G189" t="str">
        <f>_xlfn.XLOOKUP(A189,[4]NGDPRSAXDCSAQ_PCH!$A:$A,[5]NGDPRSAXDCSAQ_PCH!$B:$B,"")</f>
        <v/>
      </c>
    </row>
    <row r="190" spans="1:7" x14ac:dyDescent="0.2">
      <c r="A190" s="3">
        <v>37622</v>
      </c>
      <c r="B190" s="2">
        <v>31.183636363636364</v>
      </c>
      <c r="C190" t="e">
        <v>#DIV/0!</v>
      </c>
      <c r="D190" t="str">
        <f>_xlfn.XLOOKUP(A190,[1]Sheet2!$C:$C,[1]Sheet2!$B:$B,"")</f>
        <v/>
      </c>
      <c r="E190" t="str">
        <f>_xlfn.XLOOKUP(A190,[2]Sheet2!$C:$C,[2]Sheet2!$B:$B,"")</f>
        <v/>
      </c>
      <c r="F190" t="str">
        <f>_xlfn.XLOOKUP(A190,'[3]Monthly-Evolution-of-the-Purch'!$C:$C,'[3]Monthly-Evolution-of-the-Purch'!$B:$B,"")</f>
        <v/>
      </c>
      <c r="G190" t="str">
        <f>_xlfn.XLOOKUP(A190,[4]NGDPRSAXDCSAQ_PCH!$A:$A,[5]NGDPRSAXDCSAQ_PCH!$B:$B,"")</f>
        <v/>
      </c>
    </row>
    <row r="191" spans="1:7" x14ac:dyDescent="0.2">
      <c r="A191" s="3">
        <v>37653</v>
      </c>
      <c r="B191" s="2">
        <v>32.771000000000001</v>
      </c>
      <c r="C191">
        <v>1.1010775203229184E-2</v>
      </c>
      <c r="D191" t="str">
        <f>_xlfn.XLOOKUP(A191,[1]Sheet2!$C:$C,[1]Sheet2!$B:$B,"")</f>
        <v/>
      </c>
      <c r="E191" t="str">
        <f>_xlfn.XLOOKUP(A191,[2]Sheet2!$C:$C,[2]Sheet2!$B:$B,"")</f>
        <v/>
      </c>
      <c r="F191" t="str">
        <f>_xlfn.XLOOKUP(A191,'[3]Monthly-Evolution-of-the-Purch'!$C:$C,'[3]Monthly-Evolution-of-the-Purch'!$B:$B,"")</f>
        <v/>
      </c>
      <c r="G191" t="str">
        <f>_xlfn.XLOOKUP(A191,[4]NGDPRSAXDCSAQ_PCH!$A:$A,[5]NGDPRSAXDCSAQ_PCH!$B:$B,"")</f>
        <v/>
      </c>
    </row>
    <row r="192" spans="1:7" x14ac:dyDescent="0.2">
      <c r="A192" s="3">
        <v>37681</v>
      </c>
      <c r="B192" s="2">
        <v>30.612380952380949</v>
      </c>
      <c r="C192">
        <v>3.6788003007888093E-2</v>
      </c>
      <c r="D192" t="str">
        <f>_xlfn.XLOOKUP(A192,[1]Sheet2!$C:$C,[1]Sheet2!$B:$B,"")</f>
        <v/>
      </c>
      <c r="E192" t="str">
        <f>_xlfn.XLOOKUP(A192,[2]Sheet2!$C:$C,[2]Sheet2!$B:$B,"")</f>
        <v/>
      </c>
      <c r="F192" t="str">
        <f>_xlfn.XLOOKUP(A192,'[3]Monthly-Evolution-of-the-Purch'!$C:$C,'[3]Monthly-Evolution-of-the-Purch'!$B:$B,"")</f>
        <v/>
      </c>
      <c r="G192" t="str">
        <f>_xlfn.XLOOKUP(A192,[4]NGDPRSAXDCSAQ_PCH!$A:$A,[5]NGDPRSAXDCSAQ_PCH!$B:$B,"")</f>
        <v/>
      </c>
    </row>
    <row r="193" spans="1:7" x14ac:dyDescent="0.2">
      <c r="A193" s="3">
        <v>37712</v>
      </c>
      <c r="B193" s="2">
        <v>25.067727272727279</v>
      </c>
      <c r="C193">
        <v>2.3281224125907374E-2</v>
      </c>
      <c r="D193" t="str">
        <f>_xlfn.XLOOKUP(A193,[1]Sheet2!$C:$C,[1]Sheet2!$B:$B,"")</f>
        <v/>
      </c>
      <c r="E193" t="str">
        <f>_xlfn.XLOOKUP(A193,[2]Sheet2!$C:$C,[2]Sheet2!$B:$B,"")</f>
        <v/>
      </c>
      <c r="F193" t="str">
        <f>_xlfn.XLOOKUP(A193,'[3]Monthly-Evolution-of-the-Purch'!$C:$C,'[3]Monthly-Evolution-of-the-Purch'!$B:$B,"")</f>
        <v/>
      </c>
      <c r="G193" t="str">
        <f>_xlfn.XLOOKUP(A193,[4]NGDPRSAXDCSAQ_PCH!$A:$A,[5]NGDPRSAXDCSAQ_PCH!$B:$B,"")</f>
        <v/>
      </c>
    </row>
    <row r="194" spans="1:7" x14ac:dyDescent="0.2">
      <c r="A194" s="3">
        <v>37742</v>
      </c>
      <c r="B194" s="2">
        <v>25.857727272727274</v>
      </c>
      <c r="C194">
        <v>1.743221336583101E-2</v>
      </c>
      <c r="D194" t="str">
        <f>_xlfn.XLOOKUP(A194,[1]Sheet2!$C:$C,[1]Sheet2!$B:$B,"")</f>
        <v/>
      </c>
      <c r="E194" t="str">
        <f>_xlfn.XLOOKUP(A194,[2]Sheet2!$C:$C,[2]Sheet2!$B:$B,"")</f>
        <v/>
      </c>
      <c r="F194" t="str">
        <f>_xlfn.XLOOKUP(A194,'[3]Monthly-Evolution-of-the-Purch'!$C:$C,'[3]Monthly-Evolution-of-the-Purch'!$B:$B,"")</f>
        <v/>
      </c>
      <c r="G194" t="str">
        <f>_xlfn.XLOOKUP(A194,[4]NGDPRSAXDCSAQ_PCH!$A:$A,[5]NGDPRSAXDCSAQ_PCH!$B:$B,"")</f>
        <v/>
      </c>
    </row>
    <row r="195" spans="1:7" x14ac:dyDescent="0.2">
      <c r="A195" s="3">
        <v>37773</v>
      </c>
      <c r="B195" s="2">
        <v>27.65285714285714</v>
      </c>
      <c r="C195">
        <v>2.1309219780442593E-2</v>
      </c>
      <c r="D195" t="str">
        <f>_xlfn.XLOOKUP(A195,[1]Sheet2!$C:$C,[1]Sheet2!$B:$B,"")</f>
        <v/>
      </c>
      <c r="E195" t="str">
        <f>_xlfn.XLOOKUP(A195,[2]Sheet2!$C:$C,[2]Sheet2!$B:$B,"")</f>
        <v/>
      </c>
      <c r="F195" t="str">
        <f>_xlfn.XLOOKUP(A195,'[3]Monthly-Evolution-of-the-Purch'!$C:$C,'[3]Monthly-Evolution-of-the-Purch'!$B:$B,"")</f>
        <v/>
      </c>
      <c r="G195" t="str">
        <f>_xlfn.XLOOKUP(A195,[4]NGDPRSAXDCSAQ_PCH!$A:$A,[5]NGDPRSAXDCSAQ_PCH!$B:$B,"")</f>
        <v/>
      </c>
    </row>
    <row r="196" spans="1:7" x14ac:dyDescent="0.2">
      <c r="A196" s="3">
        <v>37803</v>
      </c>
      <c r="B196" s="2">
        <v>28.348695652173909</v>
      </c>
      <c r="C196">
        <v>2.1861778253055176E-2</v>
      </c>
      <c r="D196" t="str">
        <f>_xlfn.XLOOKUP(A196,[1]Sheet2!$C:$C,[1]Sheet2!$B:$B,"")</f>
        <v/>
      </c>
      <c r="E196" t="str">
        <f>_xlfn.XLOOKUP(A196,[2]Sheet2!$C:$C,[2]Sheet2!$B:$B,"")</f>
        <v/>
      </c>
      <c r="F196" t="str">
        <f>_xlfn.XLOOKUP(A196,'[3]Monthly-Evolution-of-the-Purch'!$C:$C,'[3]Monthly-Evolution-of-the-Purch'!$B:$B,"")</f>
        <v/>
      </c>
      <c r="G196" t="str">
        <f>_xlfn.XLOOKUP(A196,[4]NGDPRSAXDCSAQ_PCH!$A:$A,[5]NGDPRSAXDCSAQ_PCH!$B:$B,"")</f>
        <v/>
      </c>
    </row>
    <row r="197" spans="1:7" x14ac:dyDescent="0.2">
      <c r="A197" s="3">
        <v>37834</v>
      </c>
      <c r="B197" s="2">
        <v>29.888095238095236</v>
      </c>
      <c r="C197">
        <v>1.4952135336304129E-2</v>
      </c>
      <c r="D197" t="str">
        <f>_xlfn.XLOOKUP(A197,[1]Sheet2!$C:$C,[1]Sheet2!$B:$B,"")</f>
        <v/>
      </c>
      <c r="E197" t="str">
        <f>_xlfn.XLOOKUP(A197,[2]Sheet2!$C:$C,[2]Sheet2!$B:$B,"")</f>
        <v/>
      </c>
      <c r="F197" t="str">
        <f>_xlfn.XLOOKUP(A197,'[3]Monthly-Evolution-of-the-Purch'!$C:$C,'[3]Monthly-Evolution-of-the-Purch'!$B:$B,"")</f>
        <v/>
      </c>
      <c r="G197" t="str">
        <f>_xlfn.XLOOKUP(A197,[4]NGDPRSAXDCSAQ_PCH!$A:$A,[5]NGDPRSAXDCSAQ_PCH!$B:$B,"")</f>
        <v/>
      </c>
    </row>
    <row r="198" spans="1:7" x14ac:dyDescent="0.2">
      <c r="A198" s="3">
        <v>37865</v>
      </c>
      <c r="B198" s="2">
        <v>27.112272727272728</v>
      </c>
      <c r="C198">
        <v>2.1113262620190976E-2</v>
      </c>
      <c r="D198" t="str">
        <f>_xlfn.XLOOKUP(A198,[1]Sheet2!$C:$C,[1]Sheet2!$B:$B,"")</f>
        <v/>
      </c>
      <c r="E198" t="str">
        <f>_xlfn.XLOOKUP(A198,[2]Sheet2!$C:$C,[2]Sheet2!$B:$B,"")</f>
        <v/>
      </c>
      <c r="F198" t="str">
        <f>_xlfn.XLOOKUP(A198,'[3]Monthly-Evolution-of-the-Purch'!$C:$C,'[3]Monthly-Evolution-of-the-Purch'!$B:$B,"")</f>
        <v/>
      </c>
      <c r="G198" t="str">
        <f>_xlfn.XLOOKUP(A198,[4]NGDPRSAXDCSAQ_PCH!$A:$A,[5]NGDPRSAXDCSAQ_PCH!$B:$B,"")</f>
        <v/>
      </c>
    </row>
    <row r="199" spans="1:7" x14ac:dyDescent="0.2">
      <c r="A199" s="3">
        <v>37895</v>
      </c>
      <c r="B199" s="2">
        <v>29.607826086956521</v>
      </c>
      <c r="C199">
        <v>2.0137448625969331E-2</v>
      </c>
      <c r="D199" t="str">
        <f>_xlfn.XLOOKUP(A199,[1]Sheet2!$C:$C,[1]Sheet2!$B:$B,"")</f>
        <v/>
      </c>
      <c r="E199" t="str">
        <f>_xlfn.XLOOKUP(A199,[2]Sheet2!$C:$C,[2]Sheet2!$B:$B,"")</f>
        <v/>
      </c>
      <c r="F199" t="str">
        <f>_xlfn.XLOOKUP(A199,'[3]Monthly-Evolution-of-the-Purch'!$C:$C,'[3]Monthly-Evolution-of-the-Purch'!$B:$B,"")</f>
        <v/>
      </c>
      <c r="G199" t="str">
        <f>_xlfn.XLOOKUP(A199,[4]NGDPRSAXDCSAQ_PCH!$A:$A,[5]NGDPRSAXDCSAQ_PCH!$B:$B,"")</f>
        <v/>
      </c>
    </row>
    <row r="200" spans="1:7" x14ac:dyDescent="0.2">
      <c r="A200" s="3">
        <v>37926</v>
      </c>
      <c r="B200" s="2">
        <v>28.752499999999998</v>
      </c>
      <c r="C200">
        <v>2.2813455989486472E-2</v>
      </c>
      <c r="D200" t="str">
        <f>_xlfn.XLOOKUP(A200,[1]Sheet2!$C:$C,[1]Sheet2!$B:$B,"")</f>
        <v/>
      </c>
      <c r="E200" t="str">
        <f>_xlfn.XLOOKUP(A200,[2]Sheet2!$C:$C,[2]Sheet2!$B:$B,"")</f>
        <v/>
      </c>
      <c r="F200" t="str">
        <f>_xlfn.XLOOKUP(A200,'[3]Monthly-Evolution-of-the-Purch'!$C:$C,'[3]Monthly-Evolution-of-the-Purch'!$B:$B,"")</f>
        <v/>
      </c>
      <c r="G200" t="str">
        <f>_xlfn.XLOOKUP(A200,[4]NGDPRSAXDCSAQ_PCH!$A:$A,[5]NGDPRSAXDCSAQ_PCH!$B:$B,"")</f>
        <v/>
      </c>
    </row>
    <row r="201" spans="1:7" x14ac:dyDescent="0.2">
      <c r="A201" s="3">
        <v>37956</v>
      </c>
      <c r="B201" s="2">
        <v>29.807142857142853</v>
      </c>
      <c r="C201" t="e">
        <v>#NUM!</v>
      </c>
      <c r="D201" t="str">
        <f>_xlfn.XLOOKUP(A201,[1]Sheet2!$C:$C,[1]Sheet2!$B:$B,"")</f>
        <v/>
      </c>
      <c r="E201" t="str">
        <f>_xlfn.XLOOKUP(A201,[2]Sheet2!$C:$C,[2]Sheet2!$B:$B,"")</f>
        <v/>
      </c>
      <c r="F201" t="str">
        <f>_xlfn.XLOOKUP(A201,'[3]Monthly-Evolution-of-the-Purch'!$C:$C,'[3]Monthly-Evolution-of-the-Purch'!$B:$B,"")</f>
        <v/>
      </c>
      <c r="G201" t="str">
        <f>_xlfn.XLOOKUP(A201,[4]NGDPRSAXDCSAQ_PCH!$A:$A,[5]NGDPRSAXDCSAQ_PCH!$B:$B,"")</f>
        <v/>
      </c>
    </row>
    <row r="202" spans="1:7" x14ac:dyDescent="0.2">
      <c r="A202" s="3">
        <v>37987</v>
      </c>
      <c r="B202" s="2">
        <v>31.280952380952375</v>
      </c>
      <c r="C202" t="e">
        <v>#DIV/0!</v>
      </c>
      <c r="D202" t="str">
        <f>_xlfn.XLOOKUP(A202,[1]Sheet2!$C:$C,[1]Sheet2!$B:$B,"")</f>
        <v/>
      </c>
      <c r="E202" t="str">
        <f>_xlfn.XLOOKUP(A202,[2]Sheet2!$C:$C,[2]Sheet2!$B:$B,"")</f>
        <v/>
      </c>
      <c r="F202" t="str">
        <f>_xlfn.XLOOKUP(A202,'[3]Monthly-Evolution-of-the-Purch'!$C:$C,'[3]Monthly-Evolution-of-the-Purch'!$B:$B,"")</f>
        <v/>
      </c>
      <c r="G202" t="str">
        <f>_xlfn.XLOOKUP(A202,[4]NGDPRSAXDCSAQ_PCH!$A:$A,[5]NGDPRSAXDCSAQ_PCH!$B:$B,"")</f>
        <v/>
      </c>
    </row>
    <row r="203" spans="1:7" x14ac:dyDescent="0.2">
      <c r="A203" s="3">
        <v>38018</v>
      </c>
      <c r="B203" s="2">
        <v>30.858500000000003</v>
      </c>
      <c r="C203">
        <v>1.4757883728367798E-2</v>
      </c>
      <c r="D203" t="str">
        <f>_xlfn.XLOOKUP(A203,[1]Sheet2!$C:$C,[1]Sheet2!$B:$B,"")</f>
        <v/>
      </c>
      <c r="E203" t="str">
        <f>_xlfn.XLOOKUP(A203,[2]Sheet2!$C:$C,[2]Sheet2!$B:$B,"")</f>
        <v/>
      </c>
      <c r="F203" t="str">
        <f>_xlfn.XLOOKUP(A203,'[3]Monthly-Evolution-of-the-Purch'!$C:$C,'[3]Monthly-Evolution-of-the-Purch'!$B:$B,"")</f>
        <v/>
      </c>
      <c r="G203" t="str">
        <f>_xlfn.XLOOKUP(A203,[4]NGDPRSAXDCSAQ_PCH!$A:$A,[5]NGDPRSAXDCSAQ_PCH!$B:$B,"")</f>
        <v/>
      </c>
    </row>
    <row r="204" spans="1:7" x14ac:dyDescent="0.2">
      <c r="A204" s="3">
        <v>38047</v>
      </c>
      <c r="B204" s="2">
        <v>33.634347826086952</v>
      </c>
      <c r="C204">
        <v>2.145944938960781E-2</v>
      </c>
      <c r="D204" t="str">
        <f>_xlfn.XLOOKUP(A204,[1]Sheet2!$C:$C,[1]Sheet2!$B:$B,"")</f>
        <v/>
      </c>
      <c r="E204" t="str">
        <f>_xlfn.XLOOKUP(A204,[2]Sheet2!$C:$C,[2]Sheet2!$B:$B,"")</f>
        <v/>
      </c>
      <c r="F204" t="str">
        <f>_xlfn.XLOOKUP(A204,'[3]Monthly-Evolution-of-the-Purch'!$C:$C,'[3]Monthly-Evolution-of-the-Purch'!$B:$B,"")</f>
        <v/>
      </c>
      <c r="G204" t="str">
        <f>_xlfn.XLOOKUP(A204,[4]NGDPRSAXDCSAQ_PCH!$A:$A,[5]NGDPRSAXDCSAQ_PCH!$B:$B,"")</f>
        <v/>
      </c>
    </row>
    <row r="205" spans="1:7" x14ac:dyDescent="0.2">
      <c r="A205" s="3">
        <v>38078</v>
      </c>
      <c r="B205" s="2">
        <v>33.590909090909086</v>
      </c>
      <c r="C205">
        <v>2.0733767094309182E-2</v>
      </c>
      <c r="D205" t="str">
        <f>_xlfn.XLOOKUP(A205,[1]Sheet2!$C:$C,[1]Sheet2!$B:$B,"")</f>
        <v/>
      </c>
      <c r="E205" t="str">
        <f>_xlfn.XLOOKUP(A205,[2]Sheet2!$C:$C,[2]Sheet2!$B:$B,"")</f>
        <v/>
      </c>
      <c r="F205" t="str">
        <f>_xlfn.XLOOKUP(A205,'[3]Monthly-Evolution-of-the-Purch'!$C:$C,'[3]Monthly-Evolution-of-the-Purch'!$B:$B,"")</f>
        <v/>
      </c>
      <c r="G205" t="str">
        <f>_xlfn.XLOOKUP(A205,[4]NGDPRSAXDCSAQ_PCH!$A:$A,[5]NGDPRSAXDCSAQ_PCH!$B:$B,"")</f>
        <v/>
      </c>
    </row>
    <row r="206" spans="1:7" x14ac:dyDescent="0.2">
      <c r="A206" s="3">
        <v>38108</v>
      </c>
      <c r="B206" s="2">
        <v>37.567619047619054</v>
      </c>
      <c r="C206">
        <v>2.4299447853009314E-2</v>
      </c>
      <c r="D206" t="str">
        <f>_xlfn.XLOOKUP(A206,[1]Sheet2!$C:$C,[1]Sheet2!$B:$B,"")</f>
        <v/>
      </c>
      <c r="E206" t="str">
        <f>_xlfn.XLOOKUP(A206,[2]Sheet2!$C:$C,[2]Sheet2!$B:$B,"")</f>
        <v/>
      </c>
      <c r="F206" t="str">
        <f>_xlfn.XLOOKUP(A206,'[3]Monthly-Evolution-of-the-Purch'!$C:$C,'[3]Monthly-Evolution-of-the-Purch'!$B:$B,"")</f>
        <v/>
      </c>
      <c r="G206" t="str">
        <f>_xlfn.XLOOKUP(A206,[4]NGDPRSAXDCSAQ_PCH!$A:$A,[5]NGDPRSAXDCSAQ_PCH!$B:$B,"")</f>
        <v/>
      </c>
    </row>
    <row r="207" spans="1:7" x14ac:dyDescent="0.2">
      <c r="A207" s="3">
        <v>38139</v>
      </c>
      <c r="B207" s="2">
        <v>35.183636363636367</v>
      </c>
      <c r="C207">
        <v>2.4212814741411112E-2</v>
      </c>
      <c r="D207" t="str">
        <f>_xlfn.XLOOKUP(A207,[1]Sheet2!$C:$C,[1]Sheet2!$B:$B,"")</f>
        <v/>
      </c>
      <c r="E207" t="str">
        <f>_xlfn.XLOOKUP(A207,[2]Sheet2!$C:$C,[2]Sheet2!$B:$B,"")</f>
        <v/>
      </c>
      <c r="F207" t="str">
        <f>_xlfn.XLOOKUP(A207,'[3]Monthly-Evolution-of-the-Purch'!$C:$C,'[3]Monthly-Evolution-of-the-Purch'!$B:$B,"")</f>
        <v/>
      </c>
      <c r="G207" t="str">
        <f>_xlfn.XLOOKUP(A207,[4]NGDPRSAXDCSAQ_PCH!$A:$A,[5]NGDPRSAXDCSAQ_PCH!$B:$B,"")</f>
        <v/>
      </c>
    </row>
    <row r="208" spans="1:7" x14ac:dyDescent="0.2">
      <c r="A208" s="3">
        <v>38169</v>
      </c>
      <c r="B208" s="2">
        <v>38.221363636363634</v>
      </c>
      <c r="C208">
        <v>1.6233340449955846E-2</v>
      </c>
      <c r="D208" t="str">
        <f>_xlfn.XLOOKUP(A208,[1]Sheet2!$C:$C,[1]Sheet2!$B:$B,"")</f>
        <v/>
      </c>
      <c r="E208" t="str">
        <f>_xlfn.XLOOKUP(A208,[2]Sheet2!$C:$C,[2]Sheet2!$B:$B,"")</f>
        <v/>
      </c>
      <c r="F208" t="str">
        <f>_xlfn.XLOOKUP(A208,'[3]Monthly-Evolution-of-the-Purch'!$C:$C,'[3]Monthly-Evolution-of-the-Purch'!$B:$B,"")</f>
        <v/>
      </c>
      <c r="G208" t="str">
        <f>_xlfn.XLOOKUP(A208,[4]NGDPRSAXDCSAQ_PCH!$A:$A,[5]NGDPRSAXDCSAQ_PCH!$B:$B,"")</f>
        <v/>
      </c>
    </row>
    <row r="209" spans="1:7" x14ac:dyDescent="0.2">
      <c r="A209" s="3">
        <v>38200</v>
      </c>
      <c r="B209" s="2">
        <v>42.744090909090907</v>
      </c>
      <c r="C209">
        <v>1.8520216504976327E-2</v>
      </c>
      <c r="D209" t="str">
        <f>_xlfn.XLOOKUP(A209,[1]Sheet2!$C:$C,[1]Sheet2!$B:$B,"")</f>
        <v/>
      </c>
      <c r="E209" t="str">
        <f>_xlfn.XLOOKUP(A209,[2]Sheet2!$C:$C,[2]Sheet2!$B:$B,"")</f>
        <v/>
      </c>
      <c r="F209" t="str">
        <f>_xlfn.XLOOKUP(A209,'[3]Monthly-Evolution-of-the-Purch'!$C:$C,'[3]Monthly-Evolution-of-the-Purch'!$B:$B,"")</f>
        <v/>
      </c>
      <c r="G209" t="str">
        <f>_xlfn.XLOOKUP(A209,[4]NGDPRSAXDCSAQ_PCH!$A:$A,[5]NGDPRSAXDCSAQ_PCH!$B:$B,"")</f>
        <v/>
      </c>
    </row>
    <row r="210" spans="1:7" x14ac:dyDescent="0.2">
      <c r="A210" s="3">
        <v>38231</v>
      </c>
      <c r="B210" s="2">
        <v>43.196818181818173</v>
      </c>
      <c r="C210">
        <v>2.3717833580175554E-2</v>
      </c>
      <c r="D210" t="str">
        <f>_xlfn.XLOOKUP(A210,[1]Sheet2!$C:$C,[1]Sheet2!$B:$B,"")</f>
        <v/>
      </c>
      <c r="E210" t="str">
        <f>_xlfn.XLOOKUP(A210,[2]Sheet2!$C:$C,[2]Sheet2!$B:$B,"")</f>
        <v/>
      </c>
      <c r="F210" t="str">
        <f>_xlfn.XLOOKUP(A210,'[3]Monthly-Evolution-of-the-Purch'!$C:$C,'[3]Monthly-Evolution-of-the-Purch'!$B:$B,"")</f>
        <v/>
      </c>
      <c r="G210" t="str">
        <f>_xlfn.XLOOKUP(A210,[4]NGDPRSAXDCSAQ_PCH!$A:$A,[5]NGDPRSAXDCSAQ_PCH!$B:$B,"")</f>
        <v/>
      </c>
    </row>
    <row r="211" spans="1:7" x14ac:dyDescent="0.2">
      <c r="A211" s="3">
        <v>38261</v>
      </c>
      <c r="B211" s="2">
        <v>49.776666666666664</v>
      </c>
      <c r="C211">
        <v>2.0684767849596049E-2</v>
      </c>
      <c r="D211" t="str">
        <f>_xlfn.XLOOKUP(A211,[1]Sheet2!$C:$C,[1]Sheet2!$B:$B,"")</f>
        <v/>
      </c>
      <c r="E211" t="str">
        <f>_xlfn.XLOOKUP(A211,[2]Sheet2!$C:$C,[2]Sheet2!$B:$B,"")</f>
        <v/>
      </c>
      <c r="F211" t="str">
        <f>_xlfn.XLOOKUP(A211,'[3]Monthly-Evolution-of-the-Purch'!$C:$C,'[3]Monthly-Evolution-of-the-Purch'!$B:$B,"")</f>
        <v/>
      </c>
      <c r="G211" t="str">
        <f>_xlfn.XLOOKUP(A211,[4]NGDPRSAXDCSAQ_PCH!$A:$A,[5]NGDPRSAXDCSAQ_PCH!$B:$B,"")</f>
        <v/>
      </c>
    </row>
    <row r="212" spans="1:7" x14ac:dyDescent="0.2">
      <c r="A212" s="3">
        <v>38292</v>
      </c>
      <c r="B212" s="2">
        <v>43.110454545454537</v>
      </c>
      <c r="C212">
        <v>2.5319814186011442E-2</v>
      </c>
      <c r="D212" t="str">
        <f>_xlfn.XLOOKUP(A212,[1]Sheet2!$C:$C,[1]Sheet2!$B:$B,"")</f>
        <v/>
      </c>
      <c r="E212" t="str">
        <f>_xlfn.XLOOKUP(A212,[2]Sheet2!$C:$C,[2]Sheet2!$B:$B,"")</f>
        <v/>
      </c>
      <c r="F212" t="str">
        <f>_xlfn.XLOOKUP(A212,'[3]Monthly-Evolution-of-the-Purch'!$C:$C,'[3]Monthly-Evolution-of-the-Purch'!$B:$B,"")</f>
        <v/>
      </c>
      <c r="G212" t="str">
        <f>_xlfn.XLOOKUP(A212,[4]NGDPRSAXDCSAQ_PCH!$A:$A,[5]NGDPRSAXDCSAQ_PCH!$B:$B,"")</f>
        <v/>
      </c>
    </row>
    <row r="213" spans="1:7" x14ac:dyDescent="0.2">
      <c r="A213" s="3">
        <v>38322</v>
      </c>
      <c r="B213" s="2">
        <v>39.602173913043472</v>
      </c>
      <c r="C213" t="e">
        <v>#NUM!</v>
      </c>
      <c r="D213" t="str">
        <f>_xlfn.XLOOKUP(A213,[1]Sheet2!$C:$C,[1]Sheet2!$B:$B,"")</f>
        <v/>
      </c>
      <c r="E213" t="str">
        <f>_xlfn.XLOOKUP(A213,[2]Sheet2!$C:$C,[2]Sheet2!$B:$B,"")</f>
        <v/>
      </c>
      <c r="F213" t="str">
        <f>_xlfn.XLOOKUP(A213,'[3]Monthly-Evolution-of-the-Purch'!$C:$C,'[3]Monthly-Evolution-of-the-Purch'!$B:$B,"")</f>
        <v/>
      </c>
      <c r="G213" t="str">
        <f>_xlfn.XLOOKUP(A213,[4]NGDPRSAXDCSAQ_PCH!$A:$A,[5]NGDPRSAXDCSAQ_PCH!$B:$B,"")</f>
        <v/>
      </c>
    </row>
    <row r="214" spans="1:7" x14ac:dyDescent="0.2">
      <c r="A214" s="3">
        <v>38353</v>
      </c>
      <c r="B214" s="2">
        <v>44.509</v>
      </c>
      <c r="C214" t="e">
        <v>#DIV/0!</v>
      </c>
      <c r="D214" t="str">
        <f>_xlfn.XLOOKUP(A214,[1]Sheet2!$C:$C,[1]Sheet2!$B:$B,"")</f>
        <v/>
      </c>
      <c r="E214" t="str">
        <f>_xlfn.XLOOKUP(A214,[2]Sheet2!$C:$C,[2]Sheet2!$B:$B,"")</f>
        <v/>
      </c>
      <c r="F214" t="str">
        <f>_xlfn.XLOOKUP(A214,'[3]Monthly-Evolution-of-the-Purch'!$C:$C,'[3]Monthly-Evolution-of-the-Purch'!$B:$B,"")</f>
        <v/>
      </c>
      <c r="G214" t="str">
        <f>_xlfn.XLOOKUP(A214,[4]NGDPRSAXDCSAQ_PCH!$A:$A,[5]NGDPRSAXDCSAQ_PCH!$B:$B,"")</f>
        <v/>
      </c>
    </row>
    <row r="215" spans="1:7" x14ac:dyDescent="0.2">
      <c r="A215" s="3">
        <v>38384</v>
      </c>
      <c r="B215" s="2">
        <v>45.474999999999994</v>
      </c>
      <c r="C215">
        <v>1.5030072288087526E-2</v>
      </c>
      <c r="D215" t="str">
        <f>_xlfn.XLOOKUP(A215,[1]Sheet2!$C:$C,[1]Sheet2!$B:$B,"")</f>
        <v/>
      </c>
      <c r="E215" t="str">
        <f>_xlfn.XLOOKUP(A215,[2]Sheet2!$C:$C,[2]Sheet2!$B:$B,"")</f>
        <v/>
      </c>
      <c r="F215" t="str">
        <f>_xlfn.XLOOKUP(A215,'[3]Monthly-Evolution-of-the-Purch'!$C:$C,'[3]Monthly-Evolution-of-the-Purch'!$B:$B,"")</f>
        <v/>
      </c>
      <c r="G215" t="str">
        <f>_xlfn.XLOOKUP(A215,[4]NGDPRSAXDCSAQ_PCH!$A:$A,[5]NGDPRSAXDCSAQ_PCH!$B:$B,"")</f>
        <v/>
      </c>
    </row>
    <row r="216" spans="1:7" x14ac:dyDescent="0.2">
      <c r="A216" s="3">
        <v>38412</v>
      </c>
      <c r="B216" s="2">
        <v>53.104545454545466</v>
      </c>
      <c r="C216" t="e">
        <v>#NUM!</v>
      </c>
      <c r="D216" t="str">
        <f>_xlfn.XLOOKUP(A216,[1]Sheet2!$C:$C,[1]Sheet2!$B:$B,"")</f>
        <v/>
      </c>
      <c r="E216" t="str">
        <f>_xlfn.XLOOKUP(A216,[2]Sheet2!$C:$C,[2]Sheet2!$B:$B,"")</f>
        <v/>
      </c>
      <c r="F216" t="str">
        <f>_xlfn.XLOOKUP(A216,'[3]Monthly-Evolution-of-the-Purch'!$C:$C,'[3]Monthly-Evolution-of-the-Purch'!$B:$B,"")</f>
        <v/>
      </c>
      <c r="G216" t="str">
        <f>_xlfn.XLOOKUP(A216,[4]NGDPRSAXDCSAQ_PCH!$A:$A,[5]NGDPRSAXDCSAQ_PCH!$B:$B,"")</f>
        <v/>
      </c>
    </row>
    <row r="217" spans="1:7" x14ac:dyDescent="0.2">
      <c r="A217" s="3">
        <v>38443</v>
      </c>
      <c r="B217" s="2">
        <v>51.883809523809511</v>
      </c>
      <c r="C217">
        <v>2.1213314650809927E-2</v>
      </c>
      <c r="D217" t="str">
        <f>_xlfn.XLOOKUP(A217,[1]Sheet2!$C:$C,[1]Sheet2!$B:$B,"")</f>
        <v/>
      </c>
      <c r="E217" t="str">
        <f>_xlfn.XLOOKUP(A217,[2]Sheet2!$C:$C,[2]Sheet2!$B:$B,"")</f>
        <v/>
      </c>
      <c r="F217" t="str">
        <f>_xlfn.XLOOKUP(A217,'[3]Monthly-Evolution-of-the-Purch'!$C:$C,'[3]Monthly-Evolution-of-the-Purch'!$B:$B,"")</f>
        <v/>
      </c>
      <c r="G217" t="str">
        <f>_xlfn.XLOOKUP(A217,[4]NGDPRSAXDCSAQ_PCH!$A:$A,[5]NGDPRSAXDCSAQ_PCH!$B:$B,"")</f>
        <v/>
      </c>
    </row>
    <row r="218" spans="1:7" x14ac:dyDescent="0.2">
      <c r="A218" s="3">
        <v>38473</v>
      </c>
      <c r="B218" s="2">
        <v>48.645454545454548</v>
      </c>
      <c r="C218">
        <v>1.7894892782494391E-2</v>
      </c>
      <c r="D218" t="str">
        <f>_xlfn.XLOOKUP(A218,[1]Sheet2!$C:$C,[1]Sheet2!$B:$B,"")</f>
        <v/>
      </c>
      <c r="E218" t="str">
        <f>_xlfn.XLOOKUP(A218,[2]Sheet2!$C:$C,[2]Sheet2!$B:$B,"")</f>
        <v/>
      </c>
      <c r="F218" t="str">
        <f>_xlfn.XLOOKUP(A218,'[3]Monthly-Evolution-of-the-Purch'!$C:$C,'[3]Monthly-Evolution-of-the-Purch'!$B:$B,"")</f>
        <v/>
      </c>
      <c r="G218" t="str">
        <f>_xlfn.XLOOKUP(A218,[4]NGDPRSAXDCSAQ_PCH!$A:$A,[5]NGDPRSAXDCSAQ_PCH!$B:$B,"")</f>
        <v/>
      </c>
    </row>
    <row r="219" spans="1:7" x14ac:dyDescent="0.2">
      <c r="A219" s="3">
        <v>38504</v>
      </c>
      <c r="B219" s="2">
        <v>54.354545454545452</v>
      </c>
      <c r="C219">
        <v>1.8827678136971247E-2</v>
      </c>
      <c r="D219" t="str">
        <f>_xlfn.XLOOKUP(A219,[1]Sheet2!$C:$C,[1]Sheet2!$B:$B,"")</f>
        <v/>
      </c>
      <c r="E219" t="str">
        <f>_xlfn.XLOOKUP(A219,[2]Sheet2!$C:$C,[2]Sheet2!$B:$B,"")</f>
        <v/>
      </c>
      <c r="F219" t="str">
        <f>_xlfn.XLOOKUP(A219,'[3]Monthly-Evolution-of-the-Purch'!$C:$C,'[3]Monthly-Evolution-of-the-Purch'!$B:$B,"")</f>
        <v/>
      </c>
      <c r="G219" t="str">
        <f>_xlfn.XLOOKUP(A219,[4]NGDPRSAXDCSAQ_PCH!$A:$A,[5]NGDPRSAXDCSAQ_PCH!$B:$B,"")</f>
        <v/>
      </c>
    </row>
    <row r="220" spans="1:7" x14ac:dyDescent="0.2">
      <c r="A220" s="3">
        <v>38534</v>
      </c>
      <c r="B220" s="2">
        <v>57.519999999999996</v>
      </c>
      <c r="C220">
        <v>2.1416681046423799E-2</v>
      </c>
      <c r="D220" t="str">
        <f>_xlfn.XLOOKUP(A220,[1]Sheet2!$C:$C,[1]Sheet2!$B:$B,"")</f>
        <v/>
      </c>
      <c r="E220" t="str">
        <f>_xlfn.XLOOKUP(A220,[2]Sheet2!$C:$C,[2]Sheet2!$B:$B,"")</f>
        <v/>
      </c>
      <c r="F220" t="str">
        <f>_xlfn.XLOOKUP(A220,'[3]Monthly-Evolution-of-the-Purch'!$C:$C,'[3]Monthly-Evolution-of-the-Purch'!$B:$B,"")</f>
        <v/>
      </c>
      <c r="G220" t="str">
        <f>_xlfn.XLOOKUP(A220,[4]NGDPRSAXDCSAQ_PCH!$A:$A,[5]NGDPRSAXDCSAQ_PCH!$B:$B,"")</f>
        <v/>
      </c>
    </row>
    <row r="221" spans="1:7" x14ac:dyDescent="0.2">
      <c r="A221" s="3">
        <v>38565</v>
      </c>
      <c r="B221" s="2">
        <v>63.983478260869568</v>
      </c>
      <c r="C221">
        <v>1.8905586028603809E-2</v>
      </c>
      <c r="D221" t="str">
        <f>_xlfn.XLOOKUP(A221,[1]Sheet2!$C:$C,[1]Sheet2!$B:$B,"")</f>
        <v/>
      </c>
      <c r="E221" t="str">
        <f>_xlfn.XLOOKUP(A221,[2]Sheet2!$C:$C,[2]Sheet2!$B:$B,"")</f>
        <v/>
      </c>
      <c r="F221" t="str">
        <f>_xlfn.XLOOKUP(A221,'[3]Monthly-Evolution-of-the-Purch'!$C:$C,'[3]Monthly-Evolution-of-the-Purch'!$B:$B,"")</f>
        <v/>
      </c>
      <c r="G221" t="str">
        <f>_xlfn.XLOOKUP(A221,[4]NGDPRSAXDCSAQ_PCH!$A:$A,[5]NGDPRSAXDCSAQ_PCH!$B:$B,"")</f>
        <v/>
      </c>
    </row>
    <row r="222" spans="1:7" x14ac:dyDescent="0.2">
      <c r="A222" s="3">
        <v>38596</v>
      </c>
      <c r="B222" s="2">
        <v>62.908181818181816</v>
      </c>
      <c r="C222">
        <v>2.1309369670987191E-2</v>
      </c>
      <c r="D222" t="str">
        <f>_xlfn.XLOOKUP(A222,[1]Sheet2!$C:$C,[1]Sheet2!$B:$B,"")</f>
        <v/>
      </c>
      <c r="E222" t="str">
        <f>_xlfn.XLOOKUP(A222,[2]Sheet2!$C:$C,[2]Sheet2!$B:$B,"")</f>
        <v/>
      </c>
      <c r="F222" t="str">
        <f>_xlfn.XLOOKUP(A222,'[3]Monthly-Evolution-of-the-Purch'!$C:$C,'[3]Monthly-Evolution-of-the-Purch'!$B:$B,"")</f>
        <v/>
      </c>
      <c r="G222" t="str">
        <f>_xlfn.XLOOKUP(A222,[4]NGDPRSAXDCSAQ_PCH!$A:$A,[5]NGDPRSAXDCSAQ_PCH!$B:$B,"")</f>
        <v/>
      </c>
    </row>
    <row r="223" spans="1:7" x14ac:dyDescent="0.2">
      <c r="A223" s="3">
        <v>38626</v>
      </c>
      <c r="B223" s="2">
        <v>58.538571428571437</v>
      </c>
      <c r="C223">
        <v>2.0025038355676837E-2</v>
      </c>
      <c r="D223" t="str">
        <f>_xlfn.XLOOKUP(A223,[1]Sheet2!$C:$C,[1]Sheet2!$B:$B,"")</f>
        <v/>
      </c>
      <c r="E223" t="str">
        <f>_xlfn.XLOOKUP(A223,[2]Sheet2!$C:$C,[2]Sheet2!$B:$B,"")</f>
        <v/>
      </c>
      <c r="F223" t="str">
        <f>_xlfn.XLOOKUP(A223,'[3]Monthly-Evolution-of-the-Purch'!$C:$C,'[3]Monthly-Evolution-of-the-Purch'!$B:$B,"")</f>
        <v/>
      </c>
      <c r="G223" t="str">
        <f>_xlfn.XLOOKUP(A223,[4]NGDPRSAXDCSAQ_PCH!$A:$A,[5]NGDPRSAXDCSAQ_PCH!$B:$B,"")</f>
        <v/>
      </c>
    </row>
    <row r="224" spans="1:7" x14ac:dyDescent="0.2">
      <c r="A224" s="3">
        <v>38657</v>
      </c>
      <c r="B224" s="2">
        <v>55.241818181818189</v>
      </c>
      <c r="C224">
        <v>1.690199231035611E-2</v>
      </c>
      <c r="D224" t="str">
        <f>_xlfn.XLOOKUP(A224,[1]Sheet2!$C:$C,[1]Sheet2!$B:$B,"")</f>
        <v/>
      </c>
      <c r="E224" t="str">
        <f>_xlfn.XLOOKUP(A224,[2]Sheet2!$C:$C,[2]Sheet2!$B:$B,"")</f>
        <v/>
      </c>
      <c r="F224" t="str">
        <f>_xlfn.XLOOKUP(A224,'[3]Monthly-Evolution-of-the-Purch'!$C:$C,'[3]Monthly-Evolution-of-the-Purch'!$B:$B,"")</f>
        <v/>
      </c>
      <c r="G224" t="str">
        <f>_xlfn.XLOOKUP(A224,[4]NGDPRSAXDCSAQ_PCH!$A:$A,[5]NGDPRSAXDCSAQ_PCH!$B:$B,"")</f>
        <v/>
      </c>
    </row>
    <row r="225" spans="1:7" x14ac:dyDescent="0.2">
      <c r="A225" s="3">
        <v>38687</v>
      </c>
      <c r="B225" s="2">
        <v>56.855714285714285</v>
      </c>
      <c r="C225" t="e">
        <v>#NUM!</v>
      </c>
      <c r="D225" t="str">
        <f>_xlfn.XLOOKUP(A225,[1]Sheet2!$C:$C,[1]Sheet2!$B:$B,"")</f>
        <v/>
      </c>
      <c r="E225" t="str">
        <f>_xlfn.XLOOKUP(A225,[2]Sheet2!$C:$C,[2]Sheet2!$B:$B,"")</f>
        <v/>
      </c>
      <c r="F225" t="str">
        <f>_xlfn.XLOOKUP(A225,'[3]Monthly-Evolution-of-the-Purch'!$C:$C,'[3]Monthly-Evolution-of-the-Purch'!$B:$B,"")</f>
        <v/>
      </c>
      <c r="G225" t="str">
        <f>_xlfn.XLOOKUP(A225,[4]NGDPRSAXDCSAQ_PCH!$A:$A,[5]NGDPRSAXDCSAQ_PCH!$B:$B,"")</f>
        <v/>
      </c>
    </row>
    <row r="226" spans="1:7" x14ac:dyDescent="0.2">
      <c r="A226" s="3">
        <v>38718</v>
      </c>
      <c r="B226" s="2">
        <v>62.98523809523811</v>
      </c>
      <c r="C226" t="e">
        <v>#DIV/0!</v>
      </c>
      <c r="D226" t="str">
        <f>_xlfn.XLOOKUP(A226,[1]Sheet2!$C:$C,[1]Sheet2!$B:$B,"")</f>
        <v/>
      </c>
      <c r="E226" t="str">
        <f>_xlfn.XLOOKUP(A226,[2]Sheet2!$C:$C,[2]Sheet2!$B:$B,"")</f>
        <v/>
      </c>
      <c r="F226" t="str">
        <f>_xlfn.XLOOKUP(A226,'[3]Monthly-Evolution-of-the-Purch'!$C:$C,'[3]Monthly-Evolution-of-the-Purch'!$B:$B,"")</f>
        <v/>
      </c>
      <c r="G226" t="str">
        <f>_xlfn.XLOOKUP(A226,[4]NGDPRSAXDCSAQ_PCH!$A:$A,[5]NGDPRSAXDCSAQ_PCH!$B:$B,"")</f>
        <v/>
      </c>
    </row>
    <row r="227" spans="1:7" x14ac:dyDescent="0.2">
      <c r="A227" s="3">
        <v>38749</v>
      </c>
      <c r="B227" s="2">
        <v>60.21</v>
      </c>
      <c r="C227">
        <v>1.798053080586403E-2</v>
      </c>
      <c r="D227" t="str">
        <f>_xlfn.XLOOKUP(A227,[1]Sheet2!$C:$C,[1]Sheet2!$B:$B,"")</f>
        <v/>
      </c>
      <c r="E227" t="str">
        <f>_xlfn.XLOOKUP(A227,[2]Sheet2!$C:$C,[2]Sheet2!$B:$B,"")</f>
        <v/>
      </c>
      <c r="F227" t="str">
        <f>_xlfn.XLOOKUP(A227,'[3]Monthly-Evolution-of-the-Purch'!$C:$C,'[3]Monthly-Evolution-of-the-Purch'!$B:$B,"")</f>
        <v/>
      </c>
      <c r="G227" t="str">
        <f>_xlfn.XLOOKUP(A227,[4]NGDPRSAXDCSAQ_PCH!$A:$A,[5]NGDPRSAXDCSAQ_PCH!$B:$B,"")</f>
        <v/>
      </c>
    </row>
    <row r="228" spans="1:7" x14ac:dyDescent="0.2">
      <c r="A228" s="3">
        <v>38777</v>
      </c>
      <c r="B228" s="2">
        <v>62.064782608695651</v>
      </c>
      <c r="C228">
        <v>1.9456965951165035E-2</v>
      </c>
      <c r="D228" t="str">
        <f>_xlfn.XLOOKUP(A228,[1]Sheet2!$C:$C,[1]Sheet2!$B:$B,"")</f>
        <v/>
      </c>
      <c r="E228" t="str">
        <f>_xlfn.XLOOKUP(A228,[2]Sheet2!$C:$C,[2]Sheet2!$B:$B,"")</f>
        <v/>
      </c>
      <c r="F228" t="str">
        <f>_xlfn.XLOOKUP(A228,'[3]Monthly-Evolution-of-the-Purch'!$C:$C,'[3]Monthly-Evolution-of-the-Purch'!$B:$B,"")</f>
        <v/>
      </c>
      <c r="G228" t="str">
        <f>_xlfn.XLOOKUP(A228,[4]NGDPRSAXDCSAQ_PCH!$A:$A,[5]NGDPRSAXDCSAQ_PCH!$B:$B,"")</f>
        <v/>
      </c>
    </row>
    <row r="229" spans="1:7" x14ac:dyDescent="0.2">
      <c r="A229" s="3">
        <v>38808</v>
      </c>
      <c r="B229" s="2">
        <v>70.260000000000005</v>
      </c>
      <c r="C229" t="e">
        <v>#NUM!</v>
      </c>
      <c r="D229" t="str">
        <f>_xlfn.XLOOKUP(A229,[1]Sheet2!$C:$C,[1]Sheet2!$B:$B,"")</f>
        <v/>
      </c>
      <c r="E229" t="str">
        <f>_xlfn.XLOOKUP(A229,[2]Sheet2!$C:$C,[2]Sheet2!$B:$B,"")</f>
        <v/>
      </c>
      <c r="F229" t="str">
        <f>_xlfn.XLOOKUP(A229,'[3]Monthly-Evolution-of-the-Purch'!$C:$C,'[3]Monthly-Evolution-of-the-Purch'!$B:$B,"")</f>
        <v/>
      </c>
      <c r="G229" t="str">
        <f>_xlfn.XLOOKUP(A229,[4]NGDPRSAXDCSAQ_PCH!$A:$A,[5]NGDPRSAXDCSAQ_PCH!$B:$B,"")</f>
        <v/>
      </c>
    </row>
    <row r="230" spans="1:7" x14ac:dyDescent="0.2">
      <c r="A230" s="3">
        <v>38838</v>
      </c>
      <c r="B230" s="2">
        <v>69.776956521739137</v>
      </c>
      <c r="C230">
        <v>2.1640775658031266E-2</v>
      </c>
      <c r="D230" t="str">
        <f>_xlfn.XLOOKUP(A230,[1]Sheet2!$C:$C,[1]Sheet2!$B:$B,"")</f>
        <v/>
      </c>
      <c r="E230" t="str">
        <f>_xlfn.XLOOKUP(A230,[2]Sheet2!$C:$C,[2]Sheet2!$B:$B,"")</f>
        <v/>
      </c>
      <c r="F230" t="str">
        <f>_xlfn.XLOOKUP(A230,'[3]Monthly-Evolution-of-the-Purch'!$C:$C,'[3]Monthly-Evolution-of-the-Purch'!$B:$B,"")</f>
        <v/>
      </c>
      <c r="G230" t="str">
        <f>_xlfn.XLOOKUP(A230,[4]NGDPRSAXDCSAQ_PCH!$A:$A,[5]NGDPRSAXDCSAQ_PCH!$B:$B,"")</f>
        <v/>
      </c>
    </row>
    <row r="231" spans="1:7" x14ac:dyDescent="0.2">
      <c r="A231" s="3">
        <v>38869</v>
      </c>
      <c r="B231" s="2">
        <v>68.555909090909083</v>
      </c>
      <c r="C231">
        <v>1.9150343731016008E-2</v>
      </c>
      <c r="D231" t="str">
        <f>_xlfn.XLOOKUP(A231,[1]Sheet2!$C:$C,[1]Sheet2!$B:$B,"")</f>
        <v/>
      </c>
      <c r="E231" t="str">
        <f>_xlfn.XLOOKUP(A231,[2]Sheet2!$C:$C,[2]Sheet2!$B:$B,"")</f>
        <v/>
      </c>
      <c r="F231" t="str">
        <f>_xlfn.XLOOKUP(A231,'[3]Monthly-Evolution-of-the-Purch'!$C:$C,'[3]Monthly-Evolution-of-the-Purch'!$B:$B,"")</f>
        <v/>
      </c>
      <c r="G231" t="str">
        <f>_xlfn.XLOOKUP(A231,[4]NGDPRSAXDCSAQ_PCH!$A:$A,[5]NGDPRSAXDCSAQ_PCH!$B:$B,"")</f>
        <v/>
      </c>
    </row>
    <row r="232" spans="1:7" x14ac:dyDescent="0.2">
      <c r="A232" s="3">
        <v>38899</v>
      </c>
      <c r="B232" s="2">
        <v>73.674285714285702</v>
      </c>
      <c r="C232">
        <v>1.8403217760468115E-2</v>
      </c>
      <c r="D232" t="str">
        <f>_xlfn.XLOOKUP(A232,[1]Sheet2!$C:$C,[1]Sheet2!$B:$B,"")</f>
        <v/>
      </c>
      <c r="E232" t="str">
        <f>_xlfn.XLOOKUP(A232,[2]Sheet2!$C:$C,[2]Sheet2!$B:$B,"")</f>
        <v/>
      </c>
      <c r="F232" t="str">
        <f>_xlfn.XLOOKUP(A232,'[3]Monthly-Evolution-of-the-Purch'!$C:$C,'[3]Monthly-Evolution-of-the-Purch'!$B:$B,"")</f>
        <v/>
      </c>
      <c r="G232" t="str">
        <f>_xlfn.XLOOKUP(A232,[4]NGDPRSAXDCSAQ_PCH!$A:$A,[5]NGDPRSAXDCSAQ_PCH!$B:$B,"")</f>
        <v/>
      </c>
    </row>
    <row r="233" spans="1:7" x14ac:dyDescent="0.2">
      <c r="A233" s="3">
        <v>38930</v>
      </c>
      <c r="B233" s="2">
        <v>73.230434782608697</v>
      </c>
      <c r="C233">
        <v>2.0344879109907479E-2</v>
      </c>
      <c r="D233" t="str">
        <f>_xlfn.XLOOKUP(A233,[1]Sheet2!$C:$C,[1]Sheet2!$B:$B,"")</f>
        <v/>
      </c>
      <c r="E233" t="str">
        <f>_xlfn.XLOOKUP(A233,[2]Sheet2!$C:$C,[2]Sheet2!$B:$B,"")</f>
        <v/>
      </c>
      <c r="F233" t="str">
        <f>_xlfn.XLOOKUP(A233,'[3]Monthly-Evolution-of-the-Purch'!$C:$C,'[3]Monthly-Evolution-of-the-Purch'!$B:$B,"")</f>
        <v/>
      </c>
      <c r="G233" t="str">
        <f>_xlfn.XLOOKUP(A233,[4]NGDPRSAXDCSAQ_PCH!$A:$A,[5]NGDPRSAXDCSAQ_PCH!$B:$B,"")</f>
        <v/>
      </c>
    </row>
    <row r="234" spans="1:7" x14ac:dyDescent="0.2">
      <c r="A234" s="3">
        <v>38961</v>
      </c>
      <c r="B234" s="2">
        <v>61.958571428571432</v>
      </c>
      <c r="C234">
        <v>2.2713315387828302E-2</v>
      </c>
      <c r="D234" t="str">
        <f>_xlfn.XLOOKUP(A234,[1]Sheet2!$C:$C,[1]Sheet2!$B:$B,"")</f>
        <v/>
      </c>
      <c r="E234" t="str">
        <f>_xlfn.XLOOKUP(A234,[2]Sheet2!$C:$C,[2]Sheet2!$B:$B,"")</f>
        <v/>
      </c>
      <c r="F234" t="str">
        <f>_xlfn.XLOOKUP(A234,'[3]Monthly-Evolution-of-the-Purch'!$C:$C,'[3]Monthly-Evolution-of-the-Purch'!$B:$B,"")</f>
        <v/>
      </c>
      <c r="G234" t="str">
        <f>_xlfn.XLOOKUP(A234,[4]NGDPRSAXDCSAQ_PCH!$A:$A,[5]NGDPRSAXDCSAQ_PCH!$B:$B,"")</f>
        <v/>
      </c>
    </row>
    <row r="235" spans="1:7" x14ac:dyDescent="0.2">
      <c r="A235" s="3">
        <v>38991</v>
      </c>
      <c r="B235" s="2">
        <v>57.808181818181815</v>
      </c>
      <c r="C235">
        <v>2.3047435084218134E-2</v>
      </c>
      <c r="D235" t="str">
        <f>_xlfn.XLOOKUP(A235,[1]Sheet2!$C:$C,[1]Sheet2!$B:$B,"")</f>
        <v/>
      </c>
      <c r="E235" t="str">
        <f>_xlfn.XLOOKUP(A235,[2]Sheet2!$C:$C,[2]Sheet2!$B:$B,"")</f>
        <v/>
      </c>
      <c r="F235" t="str">
        <f>_xlfn.XLOOKUP(A235,'[3]Monthly-Evolution-of-the-Purch'!$C:$C,'[3]Monthly-Evolution-of-the-Purch'!$B:$B,"")</f>
        <v/>
      </c>
      <c r="G235" t="str">
        <f>_xlfn.XLOOKUP(A235,[4]NGDPRSAXDCSAQ_PCH!$A:$A,[5]NGDPRSAXDCSAQ_PCH!$B:$B,"")</f>
        <v/>
      </c>
    </row>
    <row r="236" spans="1:7" x14ac:dyDescent="0.2">
      <c r="A236" s="3">
        <v>39022</v>
      </c>
      <c r="B236" s="2">
        <v>58.761363636363633</v>
      </c>
      <c r="C236">
        <v>2.1215269324688514E-2</v>
      </c>
      <c r="D236" t="str">
        <f>_xlfn.XLOOKUP(A236,[1]Sheet2!$C:$C,[1]Sheet2!$B:$B,"")</f>
        <v/>
      </c>
      <c r="E236" t="str">
        <f>_xlfn.XLOOKUP(A236,[2]Sheet2!$C:$C,[2]Sheet2!$B:$B,"")</f>
        <v/>
      </c>
      <c r="F236" t="str">
        <f>_xlfn.XLOOKUP(A236,'[3]Monthly-Evolution-of-the-Purch'!$C:$C,'[3]Monthly-Evolution-of-the-Purch'!$B:$B,"")</f>
        <v/>
      </c>
      <c r="G236" t="str">
        <f>_xlfn.XLOOKUP(A236,[4]NGDPRSAXDCSAQ_PCH!$A:$A,[5]NGDPRSAXDCSAQ_PCH!$B:$B,"")</f>
        <v/>
      </c>
    </row>
    <row r="237" spans="1:7" x14ac:dyDescent="0.2">
      <c r="A237" s="3">
        <v>39052</v>
      </c>
      <c r="B237" s="2">
        <v>62.472105263157893</v>
      </c>
      <c r="C237" t="e">
        <v>#NUM!</v>
      </c>
      <c r="D237" t="str">
        <f>_xlfn.XLOOKUP(A237,[1]Sheet2!$C:$C,[1]Sheet2!$B:$B,"")</f>
        <v/>
      </c>
      <c r="E237" t="str">
        <f>_xlfn.XLOOKUP(A237,[2]Sheet2!$C:$C,[2]Sheet2!$B:$B,"")</f>
        <v/>
      </c>
      <c r="F237" t="str">
        <f>_xlfn.XLOOKUP(A237,'[3]Monthly-Evolution-of-the-Purch'!$C:$C,'[3]Monthly-Evolution-of-the-Purch'!$B:$B,"")</f>
        <v/>
      </c>
      <c r="G237" t="str">
        <f>_xlfn.XLOOKUP(A237,[4]NGDPRSAXDCSAQ_PCH!$A:$A,[5]NGDPRSAXDCSAQ_PCH!$B:$B,"")</f>
        <v/>
      </c>
    </row>
    <row r="238" spans="1:7" x14ac:dyDescent="0.2">
      <c r="A238" s="3">
        <v>39083</v>
      </c>
      <c r="B238" s="2">
        <v>53.681428571428569</v>
      </c>
      <c r="C238" t="e">
        <v>#DIV/0!</v>
      </c>
      <c r="D238" t="str">
        <f>_xlfn.XLOOKUP(A238,[1]Sheet2!$C:$C,[1]Sheet2!$B:$B,"")</f>
        <v/>
      </c>
      <c r="E238" t="str">
        <f>_xlfn.XLOOKUP(A238,[2]Sheet2!$C:$C,[2]Sheet2!$B:$B,"")</f>
        <v/>
      </c>
      <c r="F238" t="str">
        <f>_xlfn.XLOOKUP(A238,'[3]Monthly-Evolution-of-the-Purch'!$C:$C,'[3]Monthly-Evolution-of-the-Purch'!$B:$B,"")</f>
        <v/>
      </c>
      <c r="G238" t="str">
        <f>_xlfn.XLOOKUP(A238,[4]NGDPRSAXDCSAQ_PCH!$A:$A,[5]NGDPRSAXDCSAQ_PCH!$B:$B,"")</f>
        <v/>
      </c>
    </row>
    <row r="239" spans="1:7" x14ac:dyDescent="0.2">
      <c r="A239" s="3">
        <v>39114</v>
      </c>
      <c r="B239" s="2">
        <v>57.555789473684207</v>
      </c>
      <c r="C239" t="e">
        <v>#NUM!</v>
      </c>
      <c r="D239" t="str">
        <f>_xlfn.XLOOKUP(A239,[1]Sheet2!$C:$C,[1]Sheet2!$B:$B,"")</f>
        <v/>
      </c>
      <c r="E239" t="str">
        <f>_xlfn.XLOOKUP(A239,[2]Sheet2!$C:$C,[2]Sheet2!$B:$B,"")</f>
        <v/>
      </c>
      <c r="F239" t="str">
        <f>_xlfn.XLOOKUP(A239,'[3]Monthly-Evolution-of-the-Purch'!$C:$C,'[3]Monthly-Evolution-of-the-Purch'!$B:$B,"")</f>
        <v/>
      </c>
      <c r="G239" t="str">
        <f>_xlfn.XLOOKUP(A239,[4]NGDPRSAXDCSAQ_PCH!$A:$A,[5]NGDPRSAXDCSAQ_PCH!$B:$B,"")</f>
        <v/>
      </c>
    </row>
    <row r="240" spans="1:7" x14ac:dyDescent="0.2">
      <c r="A240" s="3">
        <v>39142</v>
      </c>
      <c r="B240" s="2">
        <v>62.050454545454549</v>
      </c>
      <c r="C240">
        <v>1.5597851517443683E-2</v>
      </c>
      <c r="D240" t="str">
        <f>_xlfn.XLOOKUP(A240,[1]Sheet2!$C:$C,[1]Sheet2!$B:$B,"")</f>
        <v/>
      </c>
      <c r="E240" t="str">
        <f>_xlfn.XLOOKUP(A240,[2]Sheet2!$C:$C,[2]Sheet2!$B:$B,"")</f>
        <v/>
      </c>
      <c r="F240" t="str">
        <f>_xlfn.XLOOKUP(A240,'[3]Monthly-Evolution-of-the-Purch'!$C:$C,'[3]Monthly-Evolution-of-the-Purch'!$B:$B,"")</f>
        <v/>
      </c>
      <c r="G240" t="str">
        <f>_xlfn.XLOOKUP(A240,[4]NGDPRSAXDCSAQ_PCH!$A:$A,[5]NGDPRSAXDCSAQ_PCH!$B:$B,"")</f>
        <v/>
      </c>
    </row>
    <row r="241" spans="1:7" x14ac:dyDescent="0.2">
      <c r="A241" s="3">
        <v>39173</v>
      </c>
      <c r="B241" s="2">
        <v>67.485789473684207</v>
      </c>
      <c r="C241" t="e">
        <v>#NUM!</v>
      </c>
      <c r="D241" t="str">
        <f>_xlfn.XLOOKUP(A241,[1]Sheet2!$C:$C,[1]Sheet2!$B:$B,"")</f>
        <v/>
      </c>
      <c r="E241" t="str">
        <f>_xlfn.XLOOKUP(A241,[2]Sheet2!$C:$C,[2]Sheet2!$B:$B,"")</f>
        <v/>
      </c>
      <c r="F241" t="str">
        <f>_xlfn.XLOOKUP(A241,'[3]Monthly-Evolution-of-the-Purch'!$C:$C,'[3]Monthly-Evolution-of-the-Purch'!$B:$B,"")</f>
        <v/>
      </c>
      <c r="G241" t="str">
        <f>_xlfn.XLOOKUP(A241,[4]NGDPRSAXDCSAQ_PCH!$A:$A,[5]NGDPRSAXDCSAQ_PCH!$B:$B,"")</f>
        <v/>
      </c>
    </row>
    <row r="242" spans="1:7" x14ac:dyDescent="0.2">
      <c r="A242" s="3">
        <v>39203</v>
      </c>
      <c r="B242" s="2">
        <v>67.212272727272747</v>
      </c>
      <c r="C242" t="e">
        <v>#NUM!</v>
      </c>
      <c r="D242" t="str">
        <f>_xlfn.XLOOKUP(A242,[1]Sheet2!$C:$C,[1]Sheet2!$B:$B,"")</f>
        <v/>
      </c>
      <c r="E242" t="str">
        <f>_xlfn.XLOOKUP(A242,[2]Sheet2!$C:$C,[2]Sheet2!$B:$B,"")</f>
        <v/>
      </c>
      <c r="F242" t="str">
        <f>_xlfn.XLOOKUP(A242,'[3]Monthly-Evolution-of-the-Purch'!$C:$C,'[3]Monthly-Evolution-of-the-Purch'!$B:$B,"")</f>
        <v/>
      </c>
      <c r="G242" t="str">
        <f>_xlfn.XLOOKUP(A242,[4]NGDPRSAXDCSAQ_PCH!$A:$A,[5]NGDPRSAXDCSAQ_PCH!$B:$B,"")</f>
        <v/>
      </c>
    </row>
    <row r="243" spans="1:7" x14ac:dyDescent="0.2">
      <c r="A243" s="3">
        <v>39234</v>
      </c>
      <c r="B243" s="2">
        <v>71.045714285714283</v>
      </c>
      <c r="C243">
        <v>1.4999178692885392E-2</v>
      </c>
      <c r="D243" t="str">
        <f>_xlfn.XLOOKUP(A243,[1]Sheet2!$C:$C,[1]Sheet2!$B:$B,"")</f>
        <v/>
      </c>
      <c r="E243" t="str">
        <f>_xlfn.XLOOKUP(A243,[2]Sheet2!$C:$C,[2]Sheet2!$B:$B,"")</f>
        <v/>
      </c>
      <c r="F243" t="str">
        <f>_xlfn.XLOOKUP(A243,'[3]Monthly-Evolution-of-the-Purch'!$C:$C,'[3]Monthly-Evolution-of-the-Purch'!$B:$B,"")</f>
        <v/>
      </c>
      <c r="G243" t="str">
        <f>_xlfn.XLOOKUP(A243,[4]NGDPRSAXDCSAQ_PCH!$A:$A,[5]NGDPRSAXDCSAQ_PCH!$B:$B,"")</f>
        <v/>
      </c>
    </row>
    <row r="244" spans="1:7" x14ac:dyDescent="0.2">
      <c r="A244" s="3">
        <v>39264</v>
      </c>
      <c r="B244" s="2">
        <v>76.929999999999978</v>
      </c>
      <c r="C244" t="e">
        <v>#NUM!</v>
      </c>
      <c r="D244" t="str">
        <f>_xlfn.XLOOKUP(A244,[1]Sheet2!$C:$C,[1]Sheet2!$B:$B,"")</f>
        <v/>
      </c>
      <c r="E244" t="str">
        <f>_xlfn.XLOOKUP(A244,[2]Sheet2!$C:$C,[2]Sheet2!$B:$B,"")</f>
        <v/>
      </c>
      <c r="F244" t="str">
        <f>_xlfn.XLOOKUP(A244,'[3]Monthly-Evolution-of-the-Purch'!$C:$C,'[3]Monthly-Evolution-of-the-Purch'!$B:$B,"")</f>
        <v/>
      </c>
      <c r="G244" t="str">
        <f>_xlfn.XLOOKUP(A244,[4]NGDPRSAXDCSAQ_PCH!$A:$A,[5]NGDPRSAXDCSAQ_PCH!$B:$B,"")</f>
        <v/>
      </c>
    </row>
    <row r="245" spans="1:7" x14ac:dyDescent="0.2">
      <c r="A245" s="3">
        <v>39295</v>
      </c>
      <c r="B245" s="2">
        <v>70.760869565217391</v>
      </c>
      <c r="C245" t="e">
        <v>#NUM!</v>
      </c>
      <c r="D245" t="str">
        <f>_xlfn.XLOOKUP(A245,[1]Sheet2!$C:$C,[1]Sheet2!$B:$B,"")</f>
        <v/>
      </c>
      <c r="E245" t="str">
        <f>_xlfn.XLOOKUP(A245,[2]Sheet2!$C:$C,[2]Sheet2!$B:$B,"")</f>
        <v/>
      </c>
      <c r="F245" t="str">
        <f>_xlfn.XLOOKUP(A245,'[3]Monthly-Evolution-of-the-Purch'!$C:$C,'[3]Monthly-Evolution-of-the-Purch'!$B:$B,"")</f>
        <v/>
      </c>
      <c r="G245" t="str">
        <f>_xlfn.XLOOKUP(A245,[4]NGDPRSAXDCSAQ_PCH!$A:$A,[5]NGDPRSAXDCSAQ_PCH!$B:$B,"")</f>
        <v/>
      </c>
    </row>
    <row r="246" spans="1:7" x14ac:dyDescent="0.2">
      <c r="A246" s="3">
        <v>39326</v>
      </c>
      <c r="B246" s="2">
        <v>77.173157894736832</v>
      </c>
      <c r="C246" t="e">
        <v>#DIV/0!</v>
      </c>
      <c r="D246" t="str">
        <f>_xlfn.XLOOKUP(A246,[1]Sheet2!$C:$C,[1]Sheet2!$B:$B,"")</f>
        <v/>
      </c>
      <c r="E246" t="str">
        <f>_xlfn.XLOOKUP(A246,[2]Sheet2!$C:$C,[2]Sheet2!$B:$B,"")</f>
        <v/>
      </c>
      <c r="F246" t="str">
        <f>_xlfn.XLOOKUP(A246,'[3]Monthly-Evolution-of-the-Purch'!$C:$C,'[3]Monthly-Evolution-of-the-Purch'!$B:$B,"")</f>
        <v/>
      </c>
      <c r="G246" t="str">
        <f>_xlfn.XLOOKUP(A246,[4]NGDPRSAXDCSAQ_PCH!$A:$A,[5]NGDPRSAXDCSAQ_PCH!$B:$B,"")</f>
        <v/>
      </c>
    </row>
    <row r="247" spans="1:7" x14ac:dyDescent="0.2">
      <c r="A247" s="3">
        <v>39356</v>
      </c>
      <c r="B247" s="2">
        <v>82.34</v>
      </c>
      <c r="C247">
        <v>1.8989009863252884E-2</v>
      </c>
      <c r="D247" t="str">
        <f>_xlfn.XLOOKUP(A247,[1]Sheet2!$C:$C,[1]Sheet2!$B:$B,"")</f>
        <v/>
      </c>
      <c r="E247" t="str">
        <f>_xlfn.XLOOKUP(A247,[2]Sheet2!$C:$C,[2]Sheet2!$B:$B,"")</f>
        <v/>
      </c>
      <c r="F247" t="str">
        <f>_xlfn.XLOOKUP(A247,'[3]Monthly-Evolution-of-the-Purch'!$C:$C,'[3]Monthly-Evolution-of-the-Purch'!$B:$B,"")</f>
        <v/>
      </c>
      <c r="G247" t="str">
        <f>_xlfn.XLOOKUP(A247,[4]NGDPRSAXDCSAQ_PCH!$A:$A,[5]NGDPRSAXDCSAQ_PCH!$B:$B,"")</f>
        <v/>
      </c>
    </row>
    <row r="248" spans="1:7" x14ac:dyDescent="0.2">
      <c r="A248" s="3">
        <v>39387</v>
      </c>
      <c r="B248" s="2">
        <v>92.414285714285711</v>
      </c>
      <c r="C248" t="e">
        <v>#NUM!</v>
      </c>
      <c r="D248" t="str">
        <f>_xlfn.XLOOKUP(A248,[1]Sheet2!$C:$C,[1]Sheet2!$B:$B,"")</f>
        <v/>
      </c>
      <c r="E248" t="str">
        <f>_xlfn.XLOOKUP(A248,[2]Sheet2!$C:$C,[2]Sheet2!$B:$B,"")</f>
        <v/>
      </c>
      <c r="F248" t="str">
        <f>_xlfn.XLOOKUP(A248,'[3]Monthly-Evolution-of-the-Purch'!$C:$C,'[3]Monthly-Evolution-of-the-Purch'!$B:$B,"")</f>
        <v/>
      </c>
      <c r="G248" t="str">
        <f>_xlfn.XLOOKUP(A248,[4]NGDPRSAXDCSAQ_PCH!$A:$A,[5]NGDPRSAXDCSAQ_PCH!$B:$B,"")</f>
        <v/>
      </c>
    </row>
    <row r="249" spans="1:7" x14ac:dyDescent="0.2">
      <c r="A249" s="3">
        <v>39417</v>
      </c>
      <c r="B249" s="2">
        <v>90.926842105263162</v>
      </c>
      <c r="C249" t="e">
        <v>#NUM!</v>
      </c>
      <c r="D249" t="str">
        <f>_xlfn.XLOOKUP(A249,[1]Sheet2!$C:$C,[1]Sheet2!$B:$B,"")</f>
        <v/>
      </c>
      <c r="E249" t="str">
        <f>_xlfn.XLOOKUP(A249,[2]Sheet2!$C:$C,[2]Sheet2!$B:$B,"")</f>
        <v/>
      </c>
      <c r="F249" t="str">
        <f>_xlfn.XLOOKUP(A249,'[3]Monthly-Evolution-of-the-Purch'!$C:$C,'[3]Monthly-Evolution-of-the-Purch'!$B:$B,"")</f>
        <v/>
      </c>
      <c r="G249" t="str">
        <f>_xlfn.XLOOKUP(A249,[4]NGDPRSAXDCSAQ_PCH!$A:$A,[5]NGDPRSAXDCSAQ_PCH!$B:$B,"")</f>
        <v/>
      </c>
    </row>
    <row r="250" spans="1:7" x14ac:dyDescent="0.2">
      <c r="A250" s="3">
        <v>39448</v>
      </c>
      <c r="B250" s="2">
        <v>92.178095238095253</v>
      </c>
      <c r="C250" t="e">
        <v>#DIV/0!</v>
      </c>
      <c r="D250" t="str">
        <f>_xlfn.XLOOKUP(A250,[1]Sheet2!$C:$C,[1]Sheet2!$B:$B,"")</f>
        <v/>
      </c>
      <c r="E250" t="str">
        <f>_xlfn.XLOOKUP(A250,[2]Sheet2!$C:$C,[2]Sheet2!$B:$B,"")</f>
        <v/>
      </c>
      <c r="F250" t="str">
        <f>_xlfn.XLOOKUP(A250,'[3]Monthly-Evolution-of-the-Purch'!$C:$C,'[3]Monthly-Evolution-of-the-Purch'!$B:$B,"")</f>
        <v/>
      </c>
      <c r="G250" t="str">
        <f>_xlfn.XLOOKUP(A250,[4]NGDPRSAXDCSAQ_PCH!$A:$A,[5]NGDPRSAXDCSAQ_PCH!$B:$B,"")</f>
        <v/>
      </c>
    </row>
    <row r="251" spans="1:7" x14ac:dyDescent="0.2">
      <c r="A251" s="3">
        <v>39479</v>
      </c>
      <c r="B251" s="2">
        <v>94.986500000000007</v>
      </c>
      <c r="C251" t="e">
        <v>#NUM!</v>
      </c>
      <c r="D251" t="str">
        <f>_xlfn.XLOOKUP(A251,[1]Sheet2!$C:$C,[1]Sheet2!$B:$B,"")</f>
        <v/>
      </c>
      <c r="E251" t="str">
        <f>_xlfn.XLOOKUP(A251,[2]Sheet2!$C:$C,[2]Sheet2!$B:$B,"")</f>
        <v/>
      </c>
      <c r="F251" t="str">
        <f>_xlfn.XLOOKUP(A251,'[3]Monthly-Evolution-of-the-Purch'!$C:$C,'[3]Monthly-Evolution-of-the-Purch'!$B:$B,"")</f>
        <v/>
      </c>
      <c r="G251" t="str">
        <f>_xlfn.XLOOKUP(A251,[4]NGDPRSAXDCSAQ_PCH!$A:$A,[5]NGDPRSAXDCSAQ_PCH!$B:$B,"")</f>
        <v/>
      </c>
    </row>
    <row r="252" spans="1:7" x14ac:dyDescent="0.2">
      <c r="A252" s="3">
        <v>39508</v>
      </c>
      <c r="B252" s="2">
        <v>103.63550000000002</v>
      </c>
      <c r="C252" t="e">
        <v>#NUM!</v>
      </c>
      <c r="D252" t="str">
        <f>_xlfn.XLOOKUP(A252,[1]Sheet2!$C:$C,[1]Sheet2!$B:$B,"")</f>
        <v/>
      </c>
      <c r="E252" t="str">
        <f>_xlfn.XLOOKUP(A252,[2]Sheet2!$C:$C,[2]Sheet2!$B:$B,"")</f>
        <v/>
      </c>
      <c r="F252" t="str">
        <f>_xlfn.XLOOKUP(A252,'[3]Monthly-Evolution-of-the-Purch'!$C:$C,'[3]Monthly-Evolution-of-the-Purch'!$B:$B,"")</f>
        <v/>
      </c>
      <c r="G252" t="str">
        <f>_xlfn.XLOOKUP(A252,[4]NGDPRSAXDCSAQ_PCH!$A:$A,[5]NGDPRSAXDCSAQ_PCH!$B:$B,"")</f>
        <v/>
      </c>
    </row>
    <row r="253" spans="1:7" x14ac:dyDescent="0.2">
      <c r="A253" s="3">
        <v>39539</v>
      </c>
      <c r="B253" s="2">
        <v>109.07136363636363</v>
      </c>
      <c r="C253">
        <v>1.763102267479812E-2</v>
      </c>
      <c r="D253" t="str">
        <f>_xlfn.XLOOKUP(A253,[1]Sheet2!$C:$C,[1]Sheet2!$B:$B,"")</f>
        <v/>
      </c>
      <c r="E253" t="str">
        <f>_xlfn.XLOOKUP(A253,[2]Sheet2!$C:$C,[2]Sheet2!$B:$B,"")</f>
        <v/>
      </c>
      <c r="F253" t="str">
        <f>_xlfn.XLOOKUP(A253,'[3]Monthly-Evolution-of-the-Purch'!$C:$C,'[3]Monthly-Evolution-of-the-Purch'!$B:$B,"")</f>
        <v/>
      </c>
      <c r="G253" t="str">
        <f>_xlfn.XLOOKUP(A253,[4]NGDPRSAXDCSAQ_PCH!$A:$A,[5]NGDPRSAXDCSAQ_PCH!$B:$B,"")</f>
        <v/>
      </c>
    </row>
    <row r="254" spans="1:7" x14ac:dyDescent="0.2">
      <c r="A254" s="3">
        <v>39569</v>
      </c>
      <c r="B254" s="2">
        <v>122.79714285714284</v>
      </c>
      <c r="C254" t="e">
        <v>#NUM!</v>
      </c>
      <c r="D254" t="str">
        <f>_xlfn.XLOOKUP(A254,[1]Sheet2!$C:$C,[1]Sheet2!$B:$B,"")</f>
        <v/>
      </c>
      <c r="E254" t="str">
        <f>_xlfn.XLOOKUP(A254,[2]Sheet2!$C:$C,[2]Sheet2!$B:$B,"")</f>
        <v/>
      </c>
      <c r="F254" t="str">
        <f>_xlfn.XLOOKUP(A254,'[3]Monthly-Evolution-of-the-Purch'!$C:$C,'[3]Monthly-Evolution-of-the-Purch'!$B:$B,"")</f>
        <v/>
      </c>
      <c r="G254" t="str">
        <f>_xlfn.XLOOKUP(A254,[4]NGDPRSAXDCSAQ_PCH!$A:$A,[5]NGDPRSAXDCSAQ_PCH!$B:$B,"")</f>
        <v/>
      </c>
    </row>
    <row r="255" spans="1:7" x14ac:dyDescent="0.2">
      <c r="A255" s="3">
        <v>39600</v>
      </c>
      <c r="B255" s="2">
        <v>132.32238095238097</v>
      </c>
      <c r="C255">
        <v>2.577081863420063E-2</v>
      </c>
      <c r="D255" t="str">
        <f>_xlfn.XLOOKUP(A255,[1]Sheet2!$C:$C,[1]Sheet2!$B:$B,"")</f>
        <v/>
      </c>
      <c r="E255" t="str">
        <f>_xlfn.XLOOKUP(A255,[2]Sheet2!$C:$C,[2]Sheet2!$B:$B,"")</f>
        <v/>
      </c>
      <c r="F255" t="str">
        <f>_xlfn.XLOOKUP(A255,'[3]Monthly-Evolution-of-the-Purch'!$C:$C,'[3]Monthly-Evolution-of-the-Purch'!$B:$B,"")</f>
        <v/>
      </c>
      <c r="G255" t="str">
        <f>_xlfn.XLOOKUP(A255,[4]NGDPRSAXDCSAQ_PCH!$A:$A,[5]NGDPRSAXDCSAQ_PCH!$B:$B,"")</f>
        <v/>
      </c>
    </row>
    <row r="256" spans="1:7" x14ac:dyDescent="0.2">
      <c r="A256" s="3">
        <v>39630</v>
      </c>
      <c r="B256" s="2">
        <v>132.71818181818182</v>
      </c>
      <c r="C256" t="e">
        <v>#NUM!</v>
      </c>
      <c r="D256" t="str">
        <f>_xlfn.XLOOKUP(A256,[1]Sheet2!$C:$C,[1]Sheet2!$B:$B,"")</f>
        <v/>
      </c>
      <c r="E256" t="str">
        <f>_xlfn.XLOOKUP(A256,[2]Sheet2!$C:$C,[2]Sheet2!$B:$B,"")</f>
        <v/>
      </c>
      <c r="F256" t="str">
        <f>_xlfn.XLOOKUP(A256,'[3]Monthly-Evolution-of-the-Purch'!$C:$C,'[3]Monthly-Evolution-of-the-Purch'!$B:$B,"")</f>
        <v/>
      </c>
      <c r="G256" t="str">
        <f>_xlfn.XLOOKUP(A256,[4]NGDPRSAXDCSAQ_PCH!$A:$A,[5]NGDPRSAXDCSAQ_PCH!$B:$B,"")</f>
        <v/>
      </c>
    </row>
    <row r="257" spans="1:7" x14ac:dyDescent="0.2">
      <c r="A257" s="3">
        <v>39661</v>
      </c>
      <c r="B257" s="2">
        <v>113.24333333333331</v>
      </c>
      <c r="C257" t="e">
        <v>#NUM!</v>
      </c>
      <c r="D257" t="str">
        <f>_xlfn.XLOOKUP(A257,[1]Sheet2!$C:$C,[1]Sheet2!$B:$B,"")</f>
        <v/>
      </c>
      <c r="E257" t="str">
        <f>_xlfn.XLOOKUP(A257,[2]Sheet2!$C:$C,[2]Sheet2!$B:$B,"")</f>
        <v/>
      </c>
      <c r="F257" t="str">
        <f>_xlfn.XLOOKUP(A257,'[3]Monthly-Evolution-of-the-Purch'!$C:$C,'[3]Monthly-Evolution-of-the-Purch'!$B:$B,"")</f>
        <v/>
      </c>
      <c r="G257" t="str">
        <f>_xlfn.XLOOKUP(A257,[4]NGDPRSAXDCSAQ_PCH!$A:$A,[5]NGDPRSAXDCSAQ_PCH!$B:$B,"")</f>
        <v/>
      </c>
    </row>
    <row r="258" spans="1:7" x14ac:dyDescent="0.2">
      <c r="A258" s="3">
        <v>39692</v>
      </c>
      <c r="B258" s="2">
        <v>97.234761904761925</v>
      </c>
      <c r="C258" t="e">
        <v>#DIV/0!</v>
      </c>
      <c r="D258" t="str">
        <f>_xlfn.XLOOKUP(A258,[1]Sheet2!$C:$C,[1]Sheet2!$B:$B,"")</f>
        <v/>
      </c>
      <c r="E258" t="str">
        <f>_xlfn.XLOOKUP(A258,[2]Sheet2!$C:$C,[2]Sheet2!$B:$B,"")</f>
        <v/>
      </c>
      <c r="F258" t="str">
        <f>_xlfn.XLOOKUP(A258,'[3]Monthly-Evolution-of-the-Purch'!$C:$C,'[3]Monthly-Evolution-of-the-Purch'!$B:$B,"")</f>
        <v/>
      </c>
      <c r="G258" t="str">
        <f>_xlfn.XLOOKUP(A258,[4]NGDPRSAXDCSAQ_PCH!$A:$A,[5]NGDPRSAXDCSAQ_PCH!$B:$B,"")</f>
        <v/>
      </c>
    </row>
    <row r="259" spans="1:7" x14ac:dyDescent="0.2">
      <c r="A259" s="3">
        <v>39722</v>
      </c>
      <c r="B259" s="2">
        <v>71.582173913043462</v>
      </c>
      <c r="C259">
        <v>4.3055425219160975E-2</v>
      </c>
      <c r="D259" t="str">
        <f>_xlfn.XLOOKUP(A259,[1]Sheet2!$C:$C,[1]Sheet2!$B:$B,"")</f>
        <v/>
      </c>
      <c r="E259" t="str">
        <f>_xlfn.XLOOKUP(A259,[2]Sheet2!$C:$C,[2]Sheet2!$B:$B,"")</f>
        <v/>
      </c>
      <c r="F259" t="str">
        <f>_xlfn.XLOOKUP(A259,'[3]Monthly-Evolution-of-the-Purch'!$C:$C,'[3]Monthly-Evolution-of-the-Purch'!$B:$B,"")</f>
        <v/>
      </c>
      <c r="G259" t="str">
        <f>_xlfn.XLOOKUP(A259,[4]NGDPRSAXDCSAQ_PCH!$A:$A,[5]NGDPRSAXDCSAQ_PCH!$B:$B,"")</f>
        <v/>
      </c>
    </row>
    <row r="260" spans="1:7" x14ac:dyDescent="0.2">
      <c r="A260" s="3">
        <v>39753</v>
      </c>
      <c r="B260" s="2">
        <v>52.452631578947368</v>
      </c>
      <c r="C260" t="e">
        <v>#NUM!</v>
      </c>
      <c r="D260" t="str">
        <f>_xlfn.XLOOKUP(A260,[1]Sheet2!$C:$C,[1]Sheet2!$B:$B,"")</f>
        <v/>
      </c>
      <c r="E260" t="str">
        <f>_xlfn.XLOOKUP(A260,[2]Sheet2!$C:$C,[2]Sheet2!$B:$B,"")</f>
        <v/>
      </c>
      <c r="F260" t="str">
        <f>_xlfn.XLOOKUP(A260,'[3]Monthly-Evolution-of-the-Purch'!$C:$C,'[3]Monthly-Evolution-of-the-Purch'!$B:$B,"")</f>
        <v/>
      </c>
      <c r="G260" t="str">
        <f>_xlfn.XLOOKUP(A260,[4]NGDPRSAXDCSAQ_PCH!$A:$A,[5]NGDPRSAXDCSAQ_PCH!$B:$B,"")</f>
        <v/>
      </c>
    </row>
    <row r="261" spans="1:7" x14ac:dyDescent="0.2">
      <c r="A261" s="3">
        <v>39783</v>
      </c>
      <c r="B261" s="2">
        <v>39.94681818181818</v>
      </c>
      <c r="C261" t="e">
        <v>#NUM!</v>
      </c>
      <c r="D261" t="str">
        <f>_xlfn.XLOOKUP(A261,[1]Sheet2!$C:$C,[1]Sheet2!$B:$B,"")</f>
        <v/>
      </c>
      <c r="E261" t="str">
        <f>_xlfn.XLOOKUP(A261,[2]Sheet2!$C:$C,[2]Sheet2!$B:$B,"")</f>
        <v/>
      </c>
      <c r="F261" t="str">
        <f>_xlfn.XLOOKUP(A261,'[3]Monthly-Evolution-of-the-Purch'!$C:$C,'[3]Monthly-Evolution-of-the-Purch'!$B:$B,"")</f>
        <v/>
      </c>
      <c r="G261" t="str">
        <f>_xlfn.XLOOKUP(A261,[4]NGDPRSAXDCSAQ_PCH!$A:$A,[5]NGDPRSAXDCSAQ_PCH!$B:$B,"")</f>
        <v/>
      </c>
    </row>
    <row r="262" spans="1:7" x14ac:dyDescent="0.2">
      <c r="A262" s="3">
        <v>39814</v>
      </c>
      <c r="B262" s="2">
        <v>43.439499999999995</v>
      </c>
      <c r="C262" t="e">
        <v>#DIV/0!</v>
      </c>
      <c r="D262" t="str">
        <f>_xlfn.XLOOKUP(A262,[1]Sheet2!$C:$C,[1]Sheet2!$B:$B,"")</f>
        <v/>
      </c>
      <c r="E262" t="str">
        <f>_xlfn.XLOOKUP(A262,[2]Sheet2!$C:$C,[2]Sheet2!$B:$B,"")</f>
        <v/>
      </c>
      <c r="F262" t="str">
        <f>_xlfn.XLOOKUP(A262,'[3]Monthly-Evolution-of-the-Purch'!$C:$C,'[3]Monthly-Evolution-of-the-Purch'!$B:$B,"")</f>
        <v/>
      </c>
      <c r="G262" t="str">
        <f>_xlfn.XLOOKUP(A262,[4]NGDPRSAXDCSAQ_PCH!$A:$A,[5]NGDPRSAXDCSAQ_PCH!$B:$B,"")</f>
        <v/>
      </c>
    </row>
    <row r="263" spans="1:7" x14ac:dyDescent="0.2">
      <c r="A263" s="3">
        <v>39845</v>
      </c>
      <c r="B263" s="2">
        <v>43.324736842105253</v>
      </c>
      <c r="C263" t="e">
        <v>#NUM!</v>
      </c>
      <c r="D263" t="str">
        <f>_xlfn.XLOOKUP(A263,[1]Sheet2!$C:$C,[1]Sheet2!$B:$B,"")</f>
        <v/>
      </c>
      <c r="E263" t="str">
        <f>_xlfn.XLOOKUP(A263,[2]Sheet2!$C:$C,[2]Sheet2!$B:$B,"")</f>
        <v/>
      </c>
      <c r="F263" t="str">
        <f>_xlfn.XLOOKUP(A263,'[3]Monthly-Evolution-of-the-Purch'!$C:$C,'[3]Monthly-Evolution-of-the-Purch'!$B:$B,"")</f>
        <v/>
      </c>
      <c r="G263" t="str">
        <f>_xlfn.XLOOKUP(A263,[4]NGDPRSAXDCSAQ_PCH!$A:$A,[5]NGDPRSAXDCSAQ_PCH!$B:$B,"")</f>
        <v/>
      </c>
    </row>
    <row r="264" spans="1:7" x14ac:dyDescent="0.2">
      <c r="A264" s="3">
        <v>39873</v>
      </c>
      <c r="B264" s="2">
        <v>46.540454545454544</v>
      </c>
      <c r="C264">
        <v>3.6585595555615094E-2</v>
      </c>
      <c r="D264" t="str">
        <f>_xlfn.XLOOKUP(A264,[1]Sheet2!$C:$C,[1]Sheet2!$B:$B,"")</f>
        <v/>
      </c>
      <c r="E264" t="str">
        <f>_xlfn.XLOOKUP(A264,[2]Sheet2!$C:$C,[2]Sheet2!$B:$B,"")</f>
        <v/>
      </c>
      <c r="F264" t="str">
        <f>_xlfn.XLOOKUP(A264,'[3]Monthly-Evolution-of-the-Purch'!$C:$C,'[3]Monthly-Evolution-of-the-Purch'!$B:$B,"")</f>
        <v/>
      </c>
      <c r="G264" t="str">
        <f>_xlfn.XLOOKUP(A264,[4]NGDPRSAXDCSAQ_PCH!$A:$A,[5]NGDPRSAXDCSAQ_PCH!$B:$B,"")</f>
        <v/>
      </c>
    </row>
    <row r="265" spans="1:7" x14ac:dyDescent="0.2">
      <c r="A265" s="3">
        <v>39904</v>
      </c>
      <c r="B265" s="2">
        <v>50.181904761904761</v>
      </c>
      <c r="C265" t="e">
        <v>#NUM!</v>
      </c>
      <c r="D265" t="str">
        <f>_xlfn.XLOOKUP(A265,[1]Sheet2!$C:$C,[1]Sheet2!$B:$B,"")</f>
        <v/>
      </c>
      <c r="E265" t="str">
        <f>_xlfn.XLOOKUP(A265,[2]Sheet2!$C:$C,[2]Sheet2!$B:$B,"")</f>
        <v/>
      </c>
      <c r="F265" t="str">
        <f>_xlfn.XLOOKUP(A265,'[3]Monthly-Evolution-of-the-Purch'!$C:$C,'[3]Monthly-Evolution-of-the-Purch'!$B:$B,"")</f>
        <v/>
      </c>
      <c r="G265" t="str">
        <f>_xlfn.XLOOKUP(A265,[4]NGDPRSAXDCSAQ_PCH!$A:$A,[5]NGDPRSAXDCSAQ_PCH!$B:$B,"")</f>
        <v/>
      </c>
    </row>
    <row r="266" spans="1:7" x14ac:dyDescent="0.2">
      <c r="A266" s="3">
        <v>39934</v>
      </c>
      <c r="B266" s="2">
        <v>57.302499999999995</v>
      </c>
      <c r="C266" t="e">
        <v>#NUM!</v>
      </c>
      <c r="D266" t="str">
        <f>_xlfn.XLOOKUP(A266,[1]Sheet2!$C:$C,[1]Sheet2!$B:$B,"")</f>
        <v/>
      </c>
      <c r="E266" t="str">
        <f>_xlfn.XLOOKUP(A266,[2]Sheet2!$C:$C,[2]Sheet2!$B:$B,"")</f>
        <v/>
      </c>
      <c r="F266" t="str">
        <f>_xlfn.XLOOKUP(A266,'[3]Monthly-Evolution-of-the-Purch'!$C:$C,'[3]Monthly-Evolution-of-the-Purch'!$B:$B,"")</f>
        <v/>
      </c>
      <c r="G266" t="str">
        <f>_xlfn.XLOOKUP(A266,[4]NGDPRSAXDCSAQ_PCH!$A:$A,[5]NGDPRSAXDCSAQ_PCH!$B:$B,"")</f>
        <v/>
      </c>
    </row>
    <row r="267" spans="1:7" x14ac:dyDescent="0.2">
      <c r="A267" s="3">
        <v>39965</v>
      </c>
      <c r="B267" s="2">
        <v>68.609545454545454</v>
      </c>
      <c r="C267">
        <v>2.3500489910529606E-2</v>
      </c>
      <c r="D267" t="str">
        <f>_xlfn.XLOOKUP(A267,[1]Sheet2!$C:$C,[1]Sheet2!$B:$B,"")</f>
        <v/>
      </c>
      <c r="E267" t="str">
        <f>_xlfn.XLOOKUP(A267,[2]Sheet2!$C:$C,[2]Sheet2!$B:$B,"")</f>
        <v/>
      </c>
      <c r="F267" t="str">
        <f>_xlfn.XLOOKUP(A267,'[3]Monthly-Evolution-of-the-Purch'!$C:$C,'[3]Monthly-Evolution-of-the-Purch'!$B:$B,"")</f>
        <v/>
      </c>
      <c r="G267" t="str">
        <f>_xlfn.XLOOKUP(A267,[4]NGDPRSAXDCSAQ_PCH!$A:$A,[5]NGDPRSAXDCSAQ_PCH!$B:$B,"")</f>
        <v/>
      </c>
    </row>
    <row r="268" spans="1:7" x14ac:dyDescent="0.2">
      <c r="A268" s="3">
        <v>39995</v>
      </c>
      <c r="B268" s="2">
        <v>64.435454545454533</v>
      </c>
      <c r="C268" t="e">
        <v>#NUM!</v>
      </c>
      <c r="D268" t="str">
        <f>_xlfn.XLOOKUP(A268,[1]Sheet2!$C:$C,[1]Sheet2!$B:$B,"")</f>
        <v/>
      </c>
      <c r="E268" t="str">
        <f>_xlfn.XLOOKUP(A268,[2]Sheet2!$C:$C,[2]Sheet2!$B:$B,"")</f>
        <v/>
      </c>
      <c r="F268" t="str">
        <f>_xlfn.XLOOKUP(A268,'[3]Monthly-Evolution-of-the-Purch'!$C:$C,'[3]Monthly-Evolution-of-the-Purch'!$B:$B,"")</f>
        <v/>
      </c>
      <c r="G268" t="str">
        <f>_xlfn.XLOOKUP(A268,[4]NGDPRSAXDCSAQ_PCH!$A:$A,[5]NGDPRSAXDCSAQ_PCH!$B:$B,"")</f>
        <v/>
      </c>
    </row>
    <row r="269" spans="1:7" x14ac:dyDescent="0.2">
      <c r="A269" s="3">
        <v>40026</v>
      </c>
      <c r="B269" s="2">
        <v>72.508571428571415</v>
      </c>
      <c r="C269">
        <v>2.6033690144042845E-2</v>
      </c>
      <c r="D269" t="str">
        <f>_xlfn.XLOOKUP(A269,[1]Sheet2!$C:$C,[1]Sheet2!$B:$B,"")</f>
        <v/>
      </c>
      <c r="E269" t="str">
        <f>_xlfn.XLOOKUP(A269,[2]Sheet2!$C:$C,[2]Sheet2!$B:$B,"")</f>
        <v/>
      </c>
      <c r="F269">
        <f>_xlfn.XLOOKUP(A269,'[3]Monthly-Evolution-of-the-Purch'!$C:$C,'[3]Monthly-Evolution-of-the-Purch'!$B:$B,"")</f>
        <v>58.529175879999997</v>
      </c>
      <c r="G269" t="str">
        <f>_xlfn.XLOOKUP(A269,[4]NGDPRSAXDCSAQ_PCH!$A:$A,[5]NGDPRSAXDCSAQ_PCH!$B:$B,"")</f>
        <v/>
      </c>
    </row>
    <row r="270" spans="1:7" x14ac:dyDescent="0.2">
      <c r="A270" s="3">
        <v>40057</v>
      </c>
      <c r="B270" s="2">
        <v>67.646190476190469</v>
      </c>
      <c r="C270" t="e">
        <v>#NUM!</v>
      </c>
      <c r="D270" t="str">
        <f>_xlfn.XLOOKUP(A270,[1]Sheet2!$C:$C,[1]Sheet2!$B:$B,"")</f>
        <v/>
      </c>
      <c r="E270" t="str">
        <f>_xlfn.XLOOKUP(A270,[2]Sheet2!$C:$C,[2]Sheet2!$B:$B,"")</f>
        <v/>
      </c>
      <c r="F270">
        <f>_xlfn.XLOOKUP(A270,'[3]Monthly-Evolution-of-the-Purch'!$C:$C,'[3]Monthly-Evolution-of-the-Purch'!$B:$B,"")</f>
        <v>58.501080299999998</v>
      </c>
      <c r="G270" t="str">
        <f>_xlfn.XLOOKUP(A270,[4]NGDPRSAXDCSAQ_PCH!$A:$A,[5]NGDPRSAXDCSAQ_PCH!$B:$B,"")</f>
        <v/>
      </c>
    </row>
    <row r="271" spans="1:7" x14ac:dyDescent="0.2">
      <c r="A271" s="3">
        <v>40087</v>
      </c>
      <c r="B271" s="2">
        <v>72.769545454545451</v>
      </c>
      <c r="C271">
        <v>1.8389356120826341E-2</v>
      </c>
      <c r="D271" t="str">
        <f>_xlfn.XLOOKUP(A271,[1]Sheet2!$C:$C,[1]Sheet2!$B:$B,"")</f>
        <v/>
      </c>
      <c r="E271" t="str">
        <f>_xlfn.XLOOKUP(A271,[2]Sheet2!$C:$C,[2]Sheet2!$B:$B,"")</f>
        <v/>
      </c>
      <c r="F271">
        <f>_xlfn.XLOOKUP(A271,'[3]Monthly-Evolution-of-the-Purch'!$C:$C,'[3]Monthly-Evolution-of-the-Purch'!$B:$B,"")</f>
        <v>60.202659089999997</v>
      </c>
      <c r="G271" t="str">
        <f>_xlfn.XLOOKUP(A271,[4]NGDPRSAXDCSAQ_PCH!$A:$A,[5]NGDPRSAXDCSAQ_PCH!$B:$B,"")</f>
        <v/>
      </c>
    </row>
    <row r="272" spans="1:7" x14ac:dyDescent="0.2">
      <c r="A272" s="3">
        <v>40118</v>
      </c>
      <c r="B272" s="2">
        <v>76.661999999999992</v>
      </c>
      <c r="C272" t="e">
        <v>#NUM!</v>
      </c>
      <c r="D272" t="str">
        <f>_xlfn.XLOOKUP(A272,[1]Sheet2!$C:$C,[1]Sheet2!$B:$B,"")</f>
        <v/>
      </c>
      <c r="E272" t="str">
        <f>_xlfn.XLOOKUP(A272,[2]Sheet2!$C:$C,[2]Sheet2!$B:$B,"")</f>
        <v/>
      </c>
      <c r="F272">
        <f>_xlfn.XLOOKUP(A272,'[3]Monthly-Evolution-of-the-Purch'!$C:$C,'[3]Monthly-Evolution-of-the-Purch'!$B:$B,"")</f>
        <v>59.347347589999998</v>
      </c>
      <c r="G272" t="str">
        <f>_xlfn.XLOOKUP(A272,[4]NGDPRSAXDCSAQ_PCH!$A:$A,[5]NGDPRSAXDCSAQ_PCH!$B:$B,"")</f>
        <v/>
      </c>
    </row>
    <row r="273" spans="1:7" x14ac:dyDescent="0.2">
      <c r="A273" s="3">
        <v>40148</v>
      </c>
      <c r="B273" s="2">
        <v>74.456363636363648</v>
      </c>
      <c r="C273" t="e">
        <v>#NUM!</v>
      </c>
      <c r="D273" t="str">
        <f>_xlfn.XLOOKUP(A273,[1]Sheet2!$C:$C,[1]Sheet2!$B:$B,"")</f>
        <v/>
      </c>
      <c r="E273" t="str">
        <f>_xlfn.XLOOKUP(A273,[2]Sheet2!$C:$C,[2]Sheet2!$B:$B,"")</f>
        <v/>
      </c>
      <c r="F273">
        <f>_xlfn.XLOOKUP(A273,'[3]Monthly-Evolution-of-the-Purch'!$C:$C,'[3]Monthly-Evolution-of-the-Purch'!$B:$B,"")</f>
        <v>58.076135829999998</v>
      </c>
      <c r="G273" t="str">
        <f>_xlfn.XLOOKUP(A273,[4]NGDPRSAXDCSAQ_PCH!$A:$A,[5]NGDPRSAXDCSAQ_PCH!$B:$B,"")</f>
        <v/>
      </c>
    </row>
    <row r="274" spans="1:7" x14ac:dyDescent="0.2">
      <c r="A274" s="3">
        <v>40179</v>
      </c>
      <c r="B274" s="2">
        <v>76.167368421052629</v>
      </c>
      <c r="C274" t="e">
        <v>#DIV/0!</v>
      </c>
      <c r="D274" t="str">
        <f>_xlfn.XLOOKUP(A274,[1]Sheet2!$C:$C,[1]Sheet2!$B:$B,"")</f>
        <v/>
      </c>
      <c r="E274" t="str">
        <f>_xlfn.XLOOKUP(A274,[2]Sheet2!$C:$C,[2]Sheet2!$B:$B,"")</f>
        <v/>
      </c>
      <c r="F274">
        <f>_xlfn.XLOOKUP(A274,'[3]Monthly-Evolution-of-the-Purch'!$C:$C,'[3]Monthly-Evolution-of-the-Purch'!$B:$B,"")</f>
        <v>57.175752979999999</v>
      </c>
      <c r="G274" t="str">
        <f>_xlfn.XLOOKUP(A274,[4]NGDPRSAXDCSAQ_PCH!$A:$A,[5]NGDPRSAXDCSAQ_PCH!$B:$B,"")</f>
        <v/>
      </c>
    </row>
    <row r="275" spans="1:7" x14ac:dyDescent="0.2">
      <c r="A275" s="3">
        <v>40210</v>
      </c>
      <c r="B275" s="2">
        <v>73.752105263157887</v>
      </c>
      <c r="C275" t="e">
        <v>#NUM!</v>
      </c>
      <c r="D275" t="str">
        <f>_xlfn.XLOOKUP(A275,[1]Sheet2!$C:$C,[1]Sheet2!$B:$B,"")</f>
        <v/>
      </c>
      <c r="E275" t="str">
        <f>_xlfn.XLOOKUP(A275,[2]Sheet2!$C:$C,[2]Sheet2!$B:$B,"")</f>
        <v/>
      </c>
      <c r="F275">
        <f>_xlfn.XLOOKUP(A275,'[3]Monthly-Evolution-of-the-Purch'!$C:$C,'[3]Monthly-Evolution-of-the-Purch'!$B:$B,"")</f>
        <v>56.428987249999999</v>
      </c>
      <c r="G275" t="str">
        <f>_xlfn.XLOOKUP(A275,[4]NGDPRSAXDCSAQ_PCH!$A:$A,[5]NGDPRSAXDCSAQ_PCH!$B:$B,"")</f>
        <v/>
      </c>
    </row>
    <row r="276" spans="1:7" x14ac:dyDescent="0.2">
      <c r="A276" s="3">
        <v>40238</v>
      </c>
      <c r="B276" s="2">
        <v>78.827391304347842</v>
      </c>
      <c r="C276">
        <v>1.5911653856273186E-2</v>
      </c>
      <c r="D276" t="str">
        <f>_xlfn.XLOOKUP(A276,[1]Sheet2!$C:$C,[1]Sheet2!$B:$B,"")</f>
        <v/>
      </c>
      <c r="E276" t="str">
        <f>_xlfn.XLOOKUP(A276,[2]Sheet2!$C:$C,[2]Sheet2!$B:$B,"")</f>
        <v/>
      </c>
      <c r="F276">
        <f>_xlfn.XLOOKUP(A276,'[3]Monthly-Evolution-of-the-Purch'!$C:$C,'[3]Monthly-Evolution-of-the-Purch'!$B:$B,"")</f>
        <v>59.197478680000003</v>
      </c>
      <c r="G276" t="str">
        <f>_xlfn.XLOOKUP(A276,[4]NGDPRSAXDCSAQ_PCH!$A:$A,[5]NGDPRSAXDCSAQ_PCH!$B:$B,"")</f>
        <v/>
      </c>
    </row>
    <row r="277" spans="1:7" x14ac:dyDescent="0.2">
      <c r="A277" s="3">
        <v>40269</v>
      </c>
      <c r="B277" s="2">
        <v>84.817619047619033</v>
      </c>
      <c r="C277" t="e">
        <v>#NUM!</v>
      </c>
      <c r="D277" t="str">
        <f>_xlfn.XLOOKUP(A277,[1]Sheet2!$C:$C,[1]Sheet2!$B:$B,"")</f>
        <v/>
      </c>
      <c r="E277" t="str">
        <f>_xlfn.XLOOKUP(A277,[2]Sheet2!$C:$C,[2]Sheet2!$B:$B,"")</f>
        <v/>
      </c>
      <c r="F277">
        <f>_xlfn.XLOOKUP(A277,'[3]Monthly-Evolution-of-the-Purch'!$C:$C,'[3]Monthly-Evolution-of-the-Purch'!$B:$B,"")</f>
        <v>58.637174209999998</v>
      </c>
      <c r="G277">
        <f>_xlfn.XLOOKUP(A277,[4]NGDPRSAXDCSAQ_PCH!$A:$A,[5]NGDPRSAXDCSAQ_PCH!$B:$B,"")</f>
        <v>1.98902</v>
      </c>
    </row>
    <row r="278" spans="1:7" x14ac:dyDescent="0.2">
      <c r="A278" s="3">
        <v>40299</v>
      </c>
      <c r="B278" s="2">
        <v>75.945499999999996</v>
      </c>
      <c r="C278" t="e">
        <v>#NUM!</v>
      </c>
      <c r="D278" t="str">
        <f>_xlfn.XLOOKUP(A278,[1]Sheet2!$C:$C,[1]Sheet2!$B:$B,"")</f>
        <v/>
      </c>
      <c r="E278" t="str">
        <f>_xlfn.XLOOKUP(A278,[2]Sheet2!$C:$C,[2]Sheet2!$B:$B,"")</f>
        <v/>
      </c>
      <c r="F278">
        <f>_xlfn.XLOOKUP(A278,'[3]Monthly-Evolution-of-the-Purch'!$C:$C,'[3]Monthly-Evolution-of-the-Purch'!$B:$B,"")</f>
        <v>60.506261780000003</v>
      </c>
      <c r="G278" t="str">
        <f>_xlfn.XLOOKUP(A278,[4]NGDPRSAXDCSAQ_PCH!$A:$A,[5]NGDPRSAXDCSAQ_PCH!$B:$B,"")</f>
        <v/>
      </c>
    </row>
    <row r="279" spans="1:7" x14ac:dyDescent="0.2">
      <c r="A279" s="3">
        <v>40330</v>
      </c>
      <c r="B279" s="2">
        <v>74.760909090909095</v>
      </c>
      <c r="C279">
        <v>1.9385056078526409E-2</v>
      </c>
      <c r="D279" t="str">
        <f>_xlfn.XLOOKUP(A279,[1]Sheet2!$C:$C,[1]Sheet2!$B:$B,"")</f>
        <v/>
      </c>
      <c r="E279" t="str">
        <f>_xlfn.XLOOKUP(A279,[2]Sheet2!$C:$C,[2]Sheet2!$B:$B,"")</f>
        <v/>
      </c>
      <c r="F279">
        <f>_xlfn.XLOOKUP(A279,'[3]Monthly-Evolution-of-the-Purch'!$C:$C,'[3]Monthly-Evolution-of-the-Purch'!$B:$B,"")</f>
        <v>61.364643909999998</v>
      </c>
      <c r="G279" t="str">
        <f>_xlfn.XLOOKUP(A279,[4]NGDPRSAXDCSAQ_PCH!$A:$A,[5]NGDPRSAXDCSAQ_PCH!$B:$B,"")</f>
        <v/>
      </c>
    </row>
    <row r="280" spans="1:7" x14ac:dyDescent="0.2">
      <c r="A280" s="3">
        <v>40360</v>
      </c>
      <c r="B280" s="2">
        <v>75.58</v>
      </c>
      <c r="C280" t="e">
        <v>#NUM!</v>
      </c>
      <c r="D280" t="str">
        <f>_xlfn.XLOOKUP(A280,[1]Sheet2!$C:$C,[1]Sheet2!$B:$B,"")</f>
        <v/>
      </c>
      <c r="E280" t="str">
        <f>_xlfn.XLOOKUP(A280,[2]Sheet2!$C:$C,[2]Sheet2!$B:$B,"")</f>
        <v/>
      </c>
      <c r="F280">
        <f>_xlfn.XLOOKUP(A280,'[3]Monthly-Evolution-of-the-Purch'!$C:$C,'[3]Monthly-Evolution-of-the-Purch'!$B:$B,"")</f>
        <v>60.208601729999998</v>
      </c>
      <c r="G280">
        <f>_xlfn.XLOOKUP(A280,[4]NGDPRSAXDCSAQ_PCH!$A:$A,[5]NGDPRSAXDCSAQ_PCH!$B:$B,"")</f>
        <v>-0.16578999999999999</v>
      </c>
    </row>
    <row r="281" spans="1:7" x14ac:dyDescent="0.2">
      <c r="A281" s="3">
        <v>40391</v>
      </c>
      <c r="B281" s="2">
        <v>77.039545454545447</v>
      </c>
      <c r="C281">
        <v>1.9777140560435901E-2</v>
      </c>
      <c r="D281" t="str">
        <f>_xlfn.XLOOKUP(A281,[1]Sheet2!$C:$C,[1]Sheet2!$B:$B,"")</f>
        <v/>
      </c>
      <c r="E281" t="str">
        <f>_xlfn.XLOOKUP(A281,[2]Sheet2!$C:$C,[2]Sheet2!$B:$B,"")</f>
        <v/>
      </c>
      <c r="F281">
        <f>_xlfn.XLOOKUP(A281,'[3]Monthly-Evolution-of-the-Purch'!$C:$C,'[3]Monthly-Evolution-of-the-Purch'!$B:$B,"")</f>
        <v>59.078105710000003</v>
      </c>
      <c r="G281" t="str">
        <f>_xlfn.XLOOKUP(A281,[4]NGDPRSAXDCSAQ_PCH!$A:$A,[5]NGDPRSAXDCSAQ_PCH!$B:$B,"")</f>
        <v/>
      </c>
    </row>
    <row r="282" spans="1:7" x14ac:dyDescent="0.2">
      <c r="A282" s="3">
        <v>40422</v>
      </c>
      <c r="B282" s="2">
        <v>77.840476190476195</v>
      </c>
      <c r="C282" t="e">
        <v>#NUM!</v>
      </c>
      <c r="D282" t="str">
        <f>_xlfn.XLOOKUP(A282,[1]Sheet2!$C:$C,[1]Sheet2!$B:$B,"")</f>
        <v/>
      </c>
      <c r="E282" t="str">
        <f>_xlfn.XLOOKUP(A282,[2]Sheet2!$C:$C,[2]Sheet2!$B:$B,"")</f>
        <v/>
      </c>
      <c r="F282">
        <f>_xlfn.XLOOKUP(A282,'[3]Monthly-Evolution-of-the-Purch'!$C:$C,'[3]Monthly-Evolution-of-the-Purch'!$B:$B,"")</f>
        <v>58.446037789999998</v>
      </c>
      <c r="G282" t="str">
        <f>_xlfn.XLOOKUP(A282,[4]NGDPRSAXDCSAQ_PCH!$A:$A,[5]NGDPRSAXDCSAQ_PCH!$B:$B,"")</f>
        <v/>
      </c>
    </row>
    <row r="283" spans="1:7" x14ac:dyDescent="0.2">
      <c r="A283" s="3">
        <v>40452</v>
      </c>
      <c r="B283" s="2">
        <v>82.664761904761903</v>
      </c>
      <c r="C283">
        <v>1.2419426957925802E-2</v>
      </c>
      <c r="D283" t="str">
        <f>_xlfn.XLOOKUP(A283,[1]Sheet2!$C:$C,[1]Sheet2!$B:$B,"")</f>
        <v/>
      </c>
      <c r="E283" t="str">
        <f>_xlfn.XLOOKUP(A283,[2]Sheet2!$C:$C,[2]Sheet2!$B:$B,"")</f>
        <v/>
      </c>
      <c r="F283">
        <f>_xlfn.XLOOKUP(A283,'[3]Monthly-Evolution-of-the-Purch'!$C:$C,'[3]Monthly-Evolution-of-the-Purch'!$B:$B,"")</f>
        <v>60.187404649999998</v>
      </c>
      <c r="G283">
        <f>_xlfn.XLOOKUP(A283,[4]NGDPRSAXDCSAQ_PCH!$A:$A,[5]NGDPRSAXDCSAQ_PCH!$B:$B,"")</f>
        <v>9.2239299999999993</v>
      </c>
    </row>
    <row r="284" spans="1:7" x14ac:dyDescent="0.2">
      <c r="A284" s="3">
        <v>40483</v>
      </c>
      <c r="B284" s="2">
        <v>85.274761904761903</v>
      </c>
      <c r="C284" t="e">
        <v>#NUM!</v>
      </c>
      <c r="D284" t="str">
        <f>_xlfn.XLOOKUP(A284,[1]Sheet2!$C:$C,[1]Sheet2!$B:$B,"")</f>
        <v/>
      </c>
      <c r="E284" t="str">
        <f>_xlfn.XLOOKUP(A284,[2]Sheet2!$C:$C,[2]Sheet2!$B:$B,"")</f>
        <v/>
      </c>
      <c r="F284">
        <f>_xlfn.XLOOKUP(A284,'[3]Monthly-Evolution-of-the-Purch'!$C:$C,'[3]Monthly-Evolution-of-the-Purch'!$B:$B,"")</f>
        <v>62.161916150000003</v>
      </c>
      <c r="G284" t="str">
        <f>_xlfn.XLOOKUP(A284,[4]NGDPRSAXDCSAQ_PCH!$A:$A,[5]NGDPRSAXDCSAQ_PCH!$B:$B,"")</f>
        <v/>
      </c>
    </row>
    <row r="285" spans="1:7" x14ac:dyDescent="0.2">
      <c r="A285" s="3">
        <v>40513</v>
      </c>
      <c r="B285" s="2">
        <v>91.446818181818159</v>
      </c>
      <c r="C285" t="e">
        <v>#NUM!</v>
      </c>
      <c r="D285" t="str">
        <f>_xlfn.XLOOKUP(A285,[1]Sheet2!$C:$C,[1]Sheet2!$B:$B,"")</f>
        <v/>
      </c>
      <c r="E285" t="str">
        <f>_xlfn.XLOOKUP(A285,[2]Sheet2!$C:$C,[2]Sheet2!$B:$B,"")</f>
        <v/>
      </c>
      <c r="F285">
        <f>_xlfn.XLOOKUP(A285,'[3]Monthly-Evolution-of-the-Purch'!$C:$C,'[3]Monthly-Evolution-of-the-Purch'!$B:$B,"")</f>
        <v>61.31816997</v>
      </c>
      <c r="G285" t="str">
        <f>_xlfn.XLOOKUP(A285,[4]NGDPRSAXDCSAQ_PCH!$A:$A,[5]NGDPRSAXDCSAQ_PCH!$B:$B,"")</f>
        <v/>
      </c>
    </row>
    <row r="286" spans="1:7" x14ac:dyDescent="0.2">
      <c r="A286" s="3">
        <v>40544</v>
      </c>
      <c r="B286" s="2">
        <v>96.523499999999984</v>
      </c>
      <c r="C286" t="e">
        <v>#NUM!</v>
      </c>
      <c r="D286" t="str">
        <f>_xlfn.XLOOKUP(A286,[1]Sheet2!$C:$C,[1]Sheet2!$B:$B,"")</f>
        <v/>
      </c>
      <c r="E286" t="str">
        <f>_xlfn.XLOOKUP(A286,[2]Sheet2!$C:$C,[2]Sheet2!$B:$B,"")</f>
        <v/>
      </c>
      <c r="F286">
        <f>_xlfn.XLOOKUP(A286,'[3]Monthly-Evolution-of-the-Purch'!$C:$C,'[3]Monthly-Evolution-of-the-Purch'!$B:$B,"")</f>
        <v>63.789322319999997</v>
      </c>
      <c r="G286">
        <f>_xlfn.XLOOKUP(A286,[4]NGDPRSAXDCSAQ_PCH!$A:$A,[5]NGDPRSAXDCSAQ_PCH!$B:$B,"")</f>
        <v>0.53915000000000002</v>
      </c>
    </row>
    <row r="287" spans="1:7" x14ac:dyDescent="0.2">
      <c r="A287" s="3">
        <v>40575</v>
      </c>
      <c r="B287" s="2">
        <v>103.71631578947368</v>
      </c>
      <c r="C287" t="e">
        <v>#NUM!</v>
      </c>
      <c r="D287" t="str">
        <f>_xlfn.XLOOKUP(A287,[1]Sheet2!$C:$C,[1]Sheet2!$B:$B,"")</f>
        <v/>
      </c>
      <c r="E287" t="str">
        <f>_xlfn.XLOOKUP(A287,[2]Sheet2!$C:$C,[2]Sheet2!$B:$B,"")</f>
        <v/>
      </c>
      <c r="F287">
        <f>_xlfn.XLOOKUP(A287,'[3]Monthly-Evolution-of-the-Purch'!$C:$C,'[3]Monthly-Evolution-of-the-Purch'!$B:$B,"")</f>
        <v>63.433323469999998</v>
      </c>
      <c r="G287" t="str">
        <f>_xlfn.XLOOKUP(A287,[4]NGDPRSAXDCSAQ_PCH!$A:$A,[5]NGDPRSAXDCSAQ_PCH!$B:$B,"")</f>
        <v/>
      </c>
    </row>
    <row r="288" spans="1:7" x14ac:dyDescent="0.2">
      <c r="A288" s="3">
        <v>40603</v>
      </c>
      <c r="B288" s="2">
        <v>114.64347826086956</v>
      </c>
      <c r="C288">
        <v>1.5550612340777472E-2</v>
      </c>
      <c r="D288" t="str">
        <f>_xlfn.XLOOKUP(A288,[1]Sheet2!$C:$C,[1]Sheet2!$B:$B,"")</f>
        <v/>
      </c>
      <c r="E288" t="str">
        <f>_xlfn.XLOOKUP(A288,[2]Sheet2!$C:$C,[2]Sheet2!$B:$B,"")</f>
        <v/>
      </c>
      <c r="F288">
        <f>_xlfn.XLOOKUP(A288,'[3]Monthly-Evolution-of-the-Purch'!$C:$C,'[3]Monthly-Evolution-of-the-Purch'!$B:$B,"")</f>
        <v>62.837846210000002</v>
      </c>
      <c r="G288" t="str">
        <f>_xlfn.XLOOKUP(A288,[4]NGDPRSAXDCSAQ_PCH!$A:$A,[5]NGDPRSAXDCSAQ_PCH!$B:$B,"")</f>
        <v/>
      </c>
    </row>
    <row r="289" spans="1:7" x14ac:dyDescent="0.2">
      <c r="A289" s="3">
        <v>40634</v>
      </c>
      <c r="B289" s="2">
        <v>123.25888888888888</v>
      </c>
      <c r="C289" t="e">
        <v>#NUM!</v>
      </c>
      <c r="D289" t="str">
        <f>_xlfn.XLOOKUP(A289,[1]Sheet2!$C:$C,[1]Sheet2!$B:$B,"")</f>
        <v/>
      </c>
      <c r="E289" t="str">
        <f>_xlfn.XLOOKUP(A289,[2]Sheet2!$C:$C,[2]Sheet2!$B:$B,"")</f>
        <v/>
      </c>
      <c r="F289">
        <f>_xlfn.XLOOKUP(A289,'[3]Monthly-Evolution-of-the-Purch'!$C:$C,'[3]Monthly-Evolution-of-the-Purch'!$B:$B,"")</f>
        <v>62.70788263</v>
      </c>
      <c r="G289">
        <f>_xlfn.XLOOKUP(A289,[4]NGDPRSAXDCSAQ_PCH!$A:$A,[5]NGDPRSAXDCSAQ_PCH!$B:$B,"")</f>
        <v>3.0735700000000001</v>
      </c>
    </row>
    <row r="290" spans="1:7" x14ac:dyDescent="0.2">
      <c r="A290" s="3">
        <v>40664</v>
      </c>
      <c r="B290" s="2">
        <v>114.9890476190476</v>
      </c>
      <c r="C290" t="e">
        <v>#NUM!</v>
      </c>
      <c r="D290" t="str">
        <f>_xlfn.XLOOKUP(A290,[1]Sheet2!$C:$C,[1]Sheet2!$B:$B,"")</f>
        <v/>
      </c>
      <c r="E290" t="str">
        <f>_xlfn.XLOOKUP(A290,[2]Sheet2!$C:$C,[2]Sheet2!$B:$B,"")</f>
        <v/>
      </c>
      <c r="F290">
        <f>_xlfn.XLOOKUP(A290,'[3]Monthly-Evolution-of-the-Purch'!$C:$C,'[3]Monthly-Evolution-of-the-Purch'!$B:$B,"")</f>
        <v>62.634080240000003</v>
      </c>
      <c r="G290" t="str">
        <f>_xlfn.XLOOKUP(A290,[4]NGDPRSAXDCSAQ_PCH!$A:$A,[5]NGDPRSAXDCSAQ_PCH!$B:$B,"")</f>
        <v/>
      </c>
    </row>
    <row r="291" spans="1:7" x14ac:dyDescent="0.2">
      <c r="A291" s="3">
        <v>40695</v>
      </c>
      <c r="B291" s="2">
        <v>113.83318181818184</v>
      </c>
      <c r="C291">
        <v>2.1403913234056444E-2</v>
      </c>
      <c r="D291" t="str">
        <f>_xlfn.XLOOKUP(A291,[1]Sheet2!$C:$C,[1]Sheet2!$B:$B,"")</f>
        <v/>
      </c>
      <c r="E291" t="str">
        <f>_xlfn.XLOOKUP(A291,[2]Sheet2!$C:$C,[2]Sheet2!$B:$B,"")</f>
        <v/>
      </c>
      <c r="F291">
        <f>_xlfn.XLOOKUP(A291,'[3]Monthly-Evolution-of-the-Purch'!$C:$C,'[3]Monthly-Evolution-of-the-Purch'!$B:$B,"")</f>
        <v>62.829911899999999</v>
      </c>
      <c r="G291" t="str">
        <f>_xlfn.XLOOKUP(A291,[4]NGDPRSAXDCSAQ_PCH!$A:$A,[5]NGDPRSAXDCSAQ_PCH!$B:$B,"")</f>
        <v/>
      </c>
    </row>
    <row r="292" spans="1:7" x14ac:dyDescent="0.2">
      <c r="A292" s="3">
        <v>40725</v>
      </c>
      <c r="B292" s="2">
        <v>116.97349999999999</v>
      </c>
      <c r="C292" t="e">
        <v>#NUM!</v>
      </c>
      <c r="D292" t="str">
        <f>_xlfn.XLOOKUP(A292,[1]Sheet2!$C:$C,[1]Sheet2!$B:$B,"")</f>
        <v/>
      </c>
      <c r="E292" t="str">
        <f>_xlfn.XLOOKUP(A292,[2]Sheet2!$C:$C,[2]Sheet2!$B:$B,"")</f>
        <v/>
      </c>
      <c r="F292">
        <f>_xlfn.XLOOKUP(A292,'[3]Monthly-Evolution-of-the-Purch'!$C:$C,'[3]Monthly-Evolution-of-the-Purch'!$B:$B,"")</f>
        <v>61.218739050000003</v>
      </c>
      <c r="G292">
        <f>_xlfn.XLOOKUP(A292,[4]NGDPRSAXDCSAQ_PCH!$A:$A,[5]NGDPRSAXDCSAQ_PCH!$B:$B,"")</f>
        <v>1.57186</v>
      </c>
    </row>
    <row r="293" spans="1:7" x14ac:dyDescent="0.2">
      <c r="A293" s="3">
        <v>40756</v>
      </c>
      <c r="B293" s="2">
        <v>110.21954545454547</v>
      </c>
      <c r="C293" t="e">
        <v>#NUM!</v>
      </c>
      <c r="D293" t="str">
        <f>_xlfn.XLOOKUP(A293,[1]Sheet2!$C:$C,[1]Sheet2!$B:$B,"")</f>
        <v/>
      </c>
      <c r="E293" t="str">
        <f>_xlfn.XLOOKUP(A293,[2]Sheet2!$C:$C,[2]Sheet2!$B:$B,"")</f>
        <v/>
      </c>
      <c r="F293">
        <f>_xlfn.XLOOKUP(A293,'[3]Monthly-Evolution-of-the-Purch'!$C:$C,'[3]Monthly-Evolution-of-the-Purch'!$B:$B,"")</f>
        <v>59.033678049999999</v>
      </c>
      <c r="G293" t="str">
        <f>_xlfn.XLOOKUP(A293,[4]NGDPRSAXDCSAQ_PCH!$A:$A,[5]NGDPRSAXDCSAQ_PCH!$B:$B,"")</f>
        <v/>
      </c>
    </row>
    <row r="294" spans="1:7" x14ac:dyDescent="0.2">
      <c r="A294" s="3">
        <v>40787</v>
      </c>
      <c r="B294" s="2">
        <v>112.83380952380955</v>
      </c>
      <c r="C294" t="e">
        <v>#NUM!</v>
      </c>
      <c r="D294" t="str">
        <f>_xlfn.XLOOKUP(A294,[1]Sheet2!$C:$C,[1]Sheet2!$B:$B,"")</f>
        <v/>
      </c>
      <c r="E294" t="str">
        <f>_xlfn.XLOOKUP(A294,[2]Sheet2!$C:$C,[2]Sheet2!$B:$B,"")</f>
        <v/>
      </c>
      <c r="F294">
        <f>_xlfn.XLOOKUP(A294,'[3]Monthly-Evolution-of-the-Purch'!$C:$C,'[3]Monthly-Evolution-of-the-Purch'!$B:$B,"")</f>
        <v>56.303323939999999</v>
      </c>
      <c r="G294" t="str">
        <f>_xlfn.XLOOKUP(A294,[4]NGDPRSAXDCSAQ_PCH!$A:$A,[5]NGDPRSAXDCSAQ_PCH!$B:$B,"")</f>
        <v/>
      </c>
    </row>
    <row r="295" spans="1:7" x14ac:dyDescent="0.2">
      <c r="A295" s="3">
        <v>40817</v>
      </c>
      <c r="B295" s="2">
        <v>109.54999999999998</v>
      </c>
      <c r="C295">
        <v>1.6983952919884686E-2</v>
      </c>
      <c r="D295" t="str">
        <f>_xlfn.XLOOKUP(A295,[1]Sheet2!$C:$C,[1]Sheet2!$B:$B,"")</f>
        <v/>
      </c>
      <c r="E295" t="str">
        <f>_xlfn.XLOOKUP(A295,[2]Sheet2!$C:$C,[2]Sheet2!$B:$B,"")</f>
        <v/>
      </c>
      <c r="F295">
        <f>_xlfn.XLOOKUP(A295,'[3]Monthly-Evolution-of-the-Purch'!$C:$C,'[3]Monthly-Evolution-of-the-Purch'!$B:$B,"")</f>
        <v>56.728673329999999</v>
      </c>
      <c r="G295">
        <f>_xlfn.XLOOKUP(A295,[4]NGDPRSAXDCSAQ_PCH!$A:$A,[5]NGDPRSAXDCSAQ_PCH!$B:$B,"")</f>
        <v>2.2589999999999999</v>
      </c>
    </row>
    <row r="296" spans="1:7" x14ac:dyDescent="0.2">
      <c r="A296" s="3">
        <v>40848</v>
      </c>
      <c r="B296" s="2">
        <v>110.76809523809523</v>
      </c>
      <c r="C296" t="e">
        <v>#NUM!</v>
      </c>
      <c r="D296" t="str">
        <f>_xlfn.XLOOKUP(A296,[1]Sheet2!$C:$C,[1]Sheet2!$B:$B,"")</f>
        <v/>
      </c>
      <c r="E296" t="str">
        <f>_xlfn.XLOOKUP(A296,[2]Sheet2!$C:$C,[2]Sheet2!$B:$B,"")</f>
        <v/>
      </c>
      <c r="F296">
        <f>_xlfn.XLOOKUP(A296,'[3]Monthly-Evolution-of-the-Purch'!$C:$C,'[3]Monthly-Evolution-of-the-Purch'!$B:$B,"")</f>
        <v>58.118057049999997</v>
      </c>
      <c r="G296" t="str">
        <f>_xlfn.XLOOKUP(A296,[4]NGDPRSAXDCSAQ_PCH!$A:$A,[5]NGDPRSAXDCSAQ_PCH!$B:$B,"")</f>
        <v/>
      </c>
    </row>
    <row r="297" spans="1:7" x14ac:dyDescent="0.2">
      <c r="A297" s="3">
        <v>40878</v>
      </c>
      <c r="B297" s="2">
        <v>107.87049999999999</v>
      </c>
      <c r="C297" t="e">
        <v>#NUM!</v>
      </c>
      <c r="D297" t="str">
        <f>_xlfn.XLOOKUP(A297,[1]Sheet2!$C:$C,[1]Sheet2!$B:$B,"")</f>
        <v/>
      </c>
      <c r="E297" t="str">
        <f>_xlfn.XLOOKUP(A297,[2]Sheet2!$C:$C,[2]Sheet2!$B:$B,"")</f>
        <v/>
      </c>
      <c r="F297">
        <f>_xlfn.XLOOKUP(A297,'[3]Monthly-Evolution-of-the-Purch'!$C:$C,'[3]Monthly-Evolution-of-the-Purch'!$B:$B,"")</f>
        <v>57.657454569999999</v>
      </c>
      <c r="G297" t="str">
        <f>_xlfn.XLOOKUP(A297,[4]NGDPRSAXDCSAQ_PCH!$A:$A,[5]NGDPRSAXDCSAQ_PCH!$B:$B,"")</f>
        <v/>
      </c>
    </row>
    <row r="298" spans="1:7" x14ac:dyDescent="0.2">
      <c r="A298" s="3">
        <v>40909</v>
      </c>
      <c r="B298" s="2">
        <v>110.68599999999999</v>
      </c>
      <c r="C298" t="e">
        <v>#DIV/0!</v>
      </c>
      <c r="D298" t="str">
        <f>_xlfn.XLOOKUP(A298,[1]Sheet2!$C:$C,[1]Sheet2!$B:$B,"")</f>
        <v/>
      </c>
      <c r="E298" t="str">
        <f>_xlfn.XLOOKUP(A298,[2]Sheet2!$C:$C,[2]Sheet2!$B:$B,"")</f>
        <v/>
      </c>
      <c r="F298">
        <f>_xlfn.XLOOKUP(A298,'[3]Monthly-Evolution-of-the-Purch'!$C:$C,'[3]Monthly-Evolution-of-the-Purch'!$B:$B,"")</f>
        <v>60.043407309999999</v>
      </c>
      <c r="G298">
        <f>_xlfn.XLOOKUP(A298,[4]NGDPRSAXDCSAQ_PCH!$A:$A,[5]NGDPRSAXDCSAQ_PCH!$B:$B,"")</f>
        <v>2.56386</v>
      </c>
    </row>
    <row r="299" spans="1:7" x14ac:dyDescent="0.2">
      <c r="A299" s="3">
        <v>40940</v>
      </c>
      <c r="B299" s="2">
        <v>119.327</v>
      </c>
      <c r="C299" t="e">
        <v>#NUM!</v>
      </c>
      <c r="D299" t="str">
        <f>_xlfn.XLOOKUP(A299,[1]Sheet2!$C:$C,[1]Sheet2!$B:$B,"")</f>
        <v/>
      </c>
      <c r="E299" t="str">
        <f>_xlfn.XLOOKUP(A299,[2]Sheet2!$C:$C,[2]Sheet2!$B:$B,"")</f>
        <v/>
      </c>
      <c r="F299">
        <f>_xlfn.XLOOKUP(A299,'[3]Monthly-Evolution-of-the-Purch'!$C:$C,'[3]Monthly-Evolution-of-the-Purch'!$B:$B,"")</f>
        <v>59.620764870000002</v>
      </c>
      <c r="G299" t="str">
        <f>_xlfn.XLOOKUP(A299,[4]NGDPRSAXDCSAQ_PCH!$A:$A,[5]NGDPRSAXDCSAQ_PCH!$B:$B,"")</f>
        <v/>
      </c>
    </row>
    <row r="300" spans="1:7" x14ac:dyDescent="0.2">
      <c r="A300" s="3">
        <v>40969</v>
      </c>
      <c r="B300" s="2">
        <v>125.44545454545454</v>
      </c>
      <c r="C300">
        <v>1.1309207417276331E-2</v>
      </c>
      <c r="D300" t="str">
        <f>_xlfn.XLOOKUP(A300,[1]Sheet2!$C:$C,[1]Sheet2!$B:$B,"")</f>
        <v/>
      </c>
      <c r="E300" t="str">
        <f>_xlfn.XLOOKUP(A300,[2]Sheet2!$C:$C,[2]Sheet2!$B:$B,"")</f>
        <v/>
      </c>
      <c r="F300">
        <f>_xlfn.XLOOKUP(A300,'[3]Monthly-Evolution-of-the-Purch'!$C:$C,'[3]Monthly-Evolution-of-the-Purch'!$B:$B,"")</f>
        <v>58.726388450000002</v>
      </c>
      <c r="G300" t="str">
        <f>_xlfn.XLOOKUP(A300,[4]NGDPRSAXDCSAQ_PCH!$A:$A,[5]NGDPRSAXDCSAQ_PCH!$B:$B,"")</f>
        <v/>
      </c>
    </row>
    <row r="301" spans="1:7" x14ac:dyDescent="0.2">
      <c r="A301" s="3">
        <v>41000</v>
      </c>
      <c r="B301" s="2">
        <v>119.42166666666668</v>
      </c>
      <c r="C301" t="e">
        <v>#NUM!</v>
      </c>
      <c r="D301" t="str">
        <f>_xlfn.XLOOKUP(A301,[1]Sheet2!$C:$C,[1]Sheet2!$B:$B,"")</f>
        <v/>
      </c>
      <c r="E301" t="str">
        <f>_xlfn.XLOOKUP(A301,[2]Sheet2!$C:$C,[2]Sheet2!$B:$B,"")</f>
        <v/>
      </c>
      <c r="F301">
        <f>_xlfn.XLOOKUP(A301,'[3]Monthly-Evolution-of-the-Purch'!$C:$C,'[3]Monthly-Evolution-of-the-Purch'!$B:$B,"")</f>
        <v>60.422511819999997</v>
      </c>
      <c r="G301">
        <f>_xlfn.XLOOKUP(A301,[4]NGDPRSAXDCSAQ_PCH!$A:$A,[5]NGDPRSAXDCSAQ_PCH!$B:$B,"")</f>
        <v>0.41023999999999999</v>
      </c>
    </row>
    <row r="302" spans="1:7" x14ac:dyDescent="0.2">
      <c r="A302" s="3">
        <v>41030</v>
      </c>
      <c r="B302" s="2">
        <v>110.33952380952381</v>
      </c>
      <c r="C302" t="e">
        <v>#NUM!</v>
      </c>
      <c r="D302" t="str">
        <f>_xlfn.XLOOKUP(A302,[1]Sheet2!$C:$C,[1]Sheet2!$B:$B,"")</f>
        <v/>
      </c>
      <c r="E302" t="str">
        <f>_xlfn.XLOOKUP(A302,[2]Sheet2!$C:$C,[2]Sheet2!$B:$B,"")</f>
        <v/>
      </c>
      <c r="F302">
        <f>_xlfn.XLOOKUP(A302,'[3]Monthly-Evolution-of-the-Purch'!$C:$C,'[3]Monthly-Evolution-of-the-Purch'!$B:$B,"")</f>
        <v>60.39101952</v>
      </c>
      <c r="G302" t="str">
        <f>_xlfn.XLOOKUP(A302,[4]NGDPRSAXDCSAQ_PCH!$A:$A,[5]NGDPRSAXDCSAQ_PCH!$B:$B,"")</f>
        <v/>
      </c>
    </row>
    <row r="303" spans="1:7" x14ac:dyDescent="0.2">
      <c r="A303" s="3">
        <v>41061</v>
      </c>
      <c r="B303" s="2">
        <v>95.155714285714296</v>
      </c>
      <c r="C303">
        <v>1.9035199009009261E-2</v>
      </c>
      <c r="D303" t="str">
        <f>_xlfn.XLOOKUP(A303,[1]Sheet2!$C:$C,[1]Sheet2!$B:$B,"")</f>
        <v/>
      </c>
      <c r="E303" t="str">
        <f>_xlfn.XLOOKUP(A303,[2]Sheet2!$C:$C,[2]Sheet2!$B:$B,"")</f>
        <v/>
      </c>
      <c r="F303">
        <f>_xlfn.XLOOKUP(A303,'[3]Monthly-Evolution-of-the-Purch'!$C:$C,'[3]Monthly-Evolution-of-the-Purch'!$B:$B,"")</f>
        <v>59.690212350000003</v>
      </c>
      <c r="G303" t="str">
        <f>_xlfn.XLOOKUP(A303,[4]NGDPRSAXDCSAQ_PCH!$A:$A,[5]NGDPRSAXDCSAQ_PCH!$B:$B,"")</f>
        <v/>
      </c>
    </row>
    <row r="304" spans="1:7" x14ac:dyDescent="0.2">
      <c r="A304" s="3">
        <v>41091</v>
      </c>
      <c r="B304" s="2">
        <v>102.61857142857141</v>
      </c>
      <c r="C304" t="e">
        <v>#NUM!</v>
      </c>
      <c r="D304" t="str">
        <f>_xlfn.XLOOKUP(A304,[1]Sheet2!$C:$C,[1]Sheet2!$B:$B,"")</f>
        <v/>
      </c>
      <c r="E304" t="str">
        <f>_xlfn.XLOOKUP(A304,[2]Sheet2!$C:$C,[2]Sheet2!$B:$B,"")</f>
        <v/>
      </c>
      <c r="F304">
        <f>_xlfn.XLOOKUP(A304,'[3]Monthly-Evolution-of-the-Purch'!$C:$C,'[3]Monthly-Evolution-of-the-Purch'!$B:$B,"")</f>
        <v>58.087993609999998</v>
      </c>
      <c r="G304">
        <f>_xlfn.XLOOKUP(A304,[4]NGDPRSAXDCSAQ_PCH!$A:$A,[5]NGDPRSAXDCSAQ_PCH!$B:$B,"")</f>
        <v>-0.26884999999999998</v>
      </c>
    </row>
    <row r="305" spans="1:7" x14ac:dyDescent="0.2">
      <c r="A305" s="3">
        <v>41122</v>
      </c>
      <c r="B305" s="2">
        <v>113.35608695652174</v>
      </c>
      <c r="C305" t="e">
        <v>#NUM!</v>
      </c>
      <c r="D305" t="str">
        <f>_xlfn.XLOOKUP(A305,[1]Sheet2!$C:$C,[1]Sheet2!$B:$B,"")</f>
        <v/>
      </c>
      <c r="E305" t="str">
        <f>_xlfn.XLOOKUP(A305,[2]Sheet2!$C:$C,[2]Sheet2!$B:$B,"")</f>
        <v/>
      </c>
      <c r="F305">
        <f>_xlfn.XLOOKUP(A305,'[3]Monthly-Evolution-of-the-Purch'!$C:$C,'[3]Monthly-Evolution-of-the-Purch'!$B:$B,"")</f>
        <v>58.30985063</v>
      </c>
      <c r="G305" t="str">
        <f>_xlfn.XLOOKUP(A305,[4]NGDPRSAXDCSAQ_PCH!$A:$A,[5]NGDPRSAXDCSAQ_PCH!$B:$B,"")</f>
        <v/>
      </c>
    </row>
    <row r="306" spans="1:7" x14ac:dyDescent="0.2">
      <c r="A306" s="3">
        <v>41153</v>
      </c>
      <c r="B306" s="2">
        <v>112.86368421052633</v>
      </c>
      <c r="C306" t="e">
        <v>#DIV/0!</v>
      </c>
      <c r="D306" t="str">
        <f>_xlfn.XLOOKUP(A306,[1]Sheet2!$C:$C,[1]Sheet2!$B:$B,"")</f>
        <v/>
      </c>
      <c r="E306" t="str">
        <f>_xlfn.XLOOKUP(A306,[2]Sheet2!$C:$C,[2]Sheet2!$B:$B,"")</f>
        <v/>
      </c>
      <c r="F306">
        <f>_xlfn.XLOOKUP(A306,'[3]Monthly-Evolution-of-the-Purch'!$C:$C,'[3]Monthly-Evolution-of-the-Purch'!$B:$B,"")</f>
        <v>60.317822909999997</v>
      </c>
      <c r="G306" t="str">
        <f>_xlfn.XLOOKUP(A306,[4]NGDPRSAXDCSAQ_PCH!$A:$A,[5]NGDPRSAXDCSAQ_PCH!$B:$B,"")</f>
        <v/>
      </c>
    </row>
    <row r="307" spans="1:7" x14ac:dyDescent="0.2">
      <c r="A307" s="3">
        <v>41183</v>
      </c>
      <c r="B307" s="2">
        <v>111.71086956521739</v>
      </c>
      <c r="C307">
        <v>1.1692276284475889E-2</v>
      </c>
      <c r="D307" t="str">
        <f>_xlfn.XLOOKUP(A307,[1]Sheet2!$C:$C,[1]Sheet2!$B:$B,"")</f>
        <v/>
      </c>
      <c r="E307" t="str">
        <f>_xlfn.XLOOKUP(A307,[2]Sheet2!$C:$C,[2]Sheet2!$B:$B,"")</f>
        <v/>
      </c>
      <c r="F307">
        <f>_xlfn.XLOOKUP(A307,'[3]Monthly-Evolution-of-the-Purch'!$C:$C,'[3]Monthly-Evolution-of-the-Purch'!$B:$B,"")</f>
        <v>59.809491780000002</v>
      </c>
      <c r="G307">
        <f>_xlfn.XLOOKUP(A307,[4]NGDPRSAXDCSAQ_PCH!$A:$A,[5]NGDPRSAXDCSAQ_PCH!$B:$B,"")</f>
        <v>-1.1337699999999999</v>
      </c>
    </row>
    <row r="308" spans="1:7" x14ac:dyDescent="0.2">
      <c r="A308" s="3">
        <v>41214</v>
      </c>
      <c r="B308" s="2">
        <v>109.05857142857143</v>
      </c>
      <c r="C308" t="e">
        <v>#NUM!</v>
      </c>
      <c r="D308" t="str">
        <f>_xlfn.XLOOKUP(A308,[1]Sheet2!$C:$C,[1]Sheet2!$B:$B,"")</f>
        <v/>
      </c>
      <c r="E308" t="str">
        <f>_xlfn.XLOOKUP(A308,[2]Sheet2!$C:$C,[2]Sheet2!$B:$B,"")</f>
        <v/>
      </c>
      <c r="F308">
        <f>_xlfn.XLOOKUP(A308,'[3]Monthly-Evolution-of-the-Purch'!$C:$C,'[3]Monthly-Evolution-of-the-Purch'!$B:$B,"")</f>
        <v>57.0159685</v>
      </c>
      <c r="G308" t="str">
        <f>_xlfn.XLOOKUP(A308,[4]NGDPRSAXDCSAQ_PCH!$A:$A,[5]NGDPRSAXDCSAQ_PCH!$B:$B,"")</f>
        <v/>
      </c>
    </row>
    <row r="309" spans="1:7" x14ac:dyDescent="0.2">
      <c r="A309" s="3">
        <v>41244</v>
      </c>
      <c r="B309" s="2">
        <v>109.494</v>
      </c>
      <c r="C309" t="e">
        <v>#NUM!</v>
      </c>
      <c r="D309" t="str">
        <f>_xlfn.XLOOKUP(A309,[1]Sheet2!$C:$C,[1]Sheet2!$B:$B,"")</f>
        <v/>
      </c>
      <c r="E309" t="str">
        <f>_xlfn.XLOOKUP(A309,[2]Sheet2!$C:$C,[2]Sheet2!$B:$B,"")</f>
        <v/>
      </c>
      <c r="F309">
        <f>_xlfn.XLOOKUP(A309,'[3]Monthly-Evolution-of-the-Purch'!$C:$C,'[3]Monthly-Evolution-of-the-Purch'!$B:$B,"")</f>
        <v>58.931573059999998</v>
      </c>
      <c r="G309" t="str">
        <f>_xlfn.XLOOKUP(A309,[4]NGDPRSAXDCSAQ_PCH!$A:$A,[5]NGDPRSAXDCSAQ_PCH!$B:$B,"")</f>
        <v/>
      </c>
    </row>
    <row r="310" spans="1:7" x14ac:dyDescent="0.2">
      <c r="A310" s="3">
        <v>41275</v>
      </c>
      <c r="B310" s="2">
        <v>112.96000000000001</v>
      </c>
      <c r="C310" t="e">
        <v>#DIV/0!</v>
      </c>
      <c r="D310" t="str">
        <f>_xlfn.XLOOKUP(A310,[1]Sheet2!$C:$C,[1]Sheet2!$B:$B,"")</f>
        <v/>
      </c>
      <c r="E310" t="str">
        <f>_xlfn.XLOOKUP(A310,[2]Sheet2!$C:$C,[2]Sheet2!$B:$B,"")</f>
        <v/>
      </c>
      <c r="F310">
        <f>_xlfn.XLOOKUP(A310,'[3]Monthly-Evolution-of-the-Purch'!$C:$C,'[3]Monthly-Evolution-of-the-Purch'!$B:$B,"")</f>
        <v>58.0541251</v>
      </c>
      <c r="G310">
        <f>_xlfn.XLOOKUP(A310,[4]NGDPRSAXDCSAQ_PCH!$A:$A,[5]NGDPRSAXDCSAQ_PCH!$B:$B,"")</f>
        <v>1.0890599999999999</v>
      </c>
    </row>
    <row r="311" spans="1:7" x14ac:dyDescent="0.2">
      <c r="A311" s="3">
        <v>41306</v>
      </c>
      <c r="B311" s="2">
        <v>116.05052631578945</v>
      </c>
      <c r="C311" t="e">
        <v>#NUM!</v>
      </c>
      <c r="D311" t="str">
        <f>_xlfn.XLOOKUP(A311,[1]Sheet2!$C:$C,[1]Sheet2!$B:$B,"")</f>
        <v/>
      </c>
      <c r="E311" t="str">
        <f>_xlfn.XLOOKUP(A311,[2]Sheet2!$C:$C,[2]Sheet2!$B:$B,"")</f>
        <v/>
      </c>
      <c r="F311">
        <f>_xlfn.XLOOKUP(A311,'[3]Monthly-Evolution-of-the-Purch'!$C:$C,'[3]Monthly-Evolution-of-the-Purch'!$B:$B,"")</f>
        <v>58.541498570000002</v>
      </c>
      <c r="G311" t="str">
        <f>_xlfn.XLOOKUP(A311,[4]NGDPRSAXDCSAQ_PCH!$A:$A,[5]NGDPRSAXDCSAQ_PCH!$B:$B,"")</f>
        <v/>
      </c>
    </row>
    <row r="312" spans="1:7" x14ac:dyDescent="0.2">
      <c r="A312" s="3">
        <v>41334</v>
      </c>
      <c r="B312" s="2">
        <v>108.474</v>
      </c>
      <c r="C312" t="e">
        <v>#NUM!</v>
      </c>
      <c r="D312" t="str">
        <f>_xlfn.XLOOKUP(A312,[1]Sheet2!$C:$C,[1]Sheet2!$B:$B,"")</f>
        <v/>
      </c>
      <c r="E312" t="str">
        <f>_xlfn.XLOOKUP(A312,[2]Sheet2!$C:$C,[2]Sheet2!$B:$B,"")</f>
        <v/>
      </c>
      <c r="F312">
        <f>_xlfn.XLOOKUP(A312,'[3]Monthly-Evolution-of-the-Purch'!$C:$C,'[3]Monthly-Evolution-of-the-Purch'!$B:$B,"")</f>
        <v>58.878398670000003</v>
      </c>
      <c r="G312" t="str">
        <f>_xlfn.XLOOKUP(A312,[4]NGDPRSAXDCSAQ_PCH!$A:$A,[5]NGDPRSAXDCSAQ_PCH!$B:$B,"")</f>
        <v/>
      </c>
    </row>
    <row r="313" spans="1:7" x14ac:dyDescent="0.2">
      <c r="A313" s="3">
        <v>41365</v>
      </c>
      <c r="B313" s="2">
        <v>102.24818181818182</v>
      </c>
      <c r="C313">
        <v>1.4126769156423625E-2</v>
      </c>
      <c r="D313" t="str">
        <f>_xlfn.XLOOKUP(A313,[1]Sheet2!$C:$C,[1]Sheet2!$B:$B,"")</f>
        <v/>
      </c>
      <c r="E313" t="str">
        <f>_xlfn.XLOOKUP(A313,[2]Sheet2!$C:$C,[2]Sheet2!$B:$B,"")</f>
        <v/>
      </c>
      <c r="F313">
        <f>_xlfn.XLOOKUP(A313,'[3]Monthly-Evolution-of-the-Purch'!$C:$C,'[3]Monthly-Evolution-of-the-Purch'!$B:$B,"")</f>
        <v>57.95930465</v>
      </c>
      <c r="G313">
        <f>_xlfn.XLOOKUP(A313,[4]NGDPRSAXDCSAQ_PCH!$A:$A,[5]NGDPRSAXDCSAQ_PCH!$B:$B,"")</f>
        <v>2.1662400000000002</v>
      </c>
    </row>
    <row r="314" spans="1:7" x14ac:dyDescent="0.2">
      <c r="A314" s="3">
        <v>41395</v>
      </c>
      <c r="B314" s="2">
        <v>102.55863636363634</v>
      </c>
      <c r="C314" t="e">
        <v>#NUM!</v>
      </c>
      <c r="D314" t="str">
        <f>_xlfn.XLOOKUP(A314,[1]Sheet2!$C:$C,[1]Sheet2!$B:$B,"")</f>
        <v/>
      </c>
      <c r="E314" t="str">
        <f>_xlfn.XLOOKUP(A314,[2]Sheet2!$C:$C,[2]Sheet2!$B:$B,"")</f>
        <v/>
      </c>
      <c r="F314">
        <f>_xlfn.XLOOKUP(A314,'[3]Monthly-Evolution-of-the-Purch'!$C:$C,'[3]Monthly-Evolution-of-the-Purch'!$B:$B,"")</f>
        <v>57.314990340000001</v>
      </c>
      <c r="G314" t="str">
        <f>_xlfn.XLOOKUP(A314,[4]NGDPRSAXDCSAQ_PCH!$A:$A,[5]NGDPRSAXDCSAQ_PCH!$B:$B,"")</f>
        <v/>
      </c>
    </row>
    <row r="315" spans="1:7" x14ac:dyDescent="0.2">
      <c r="A315" s="3">
        <v>41426</v>
      </c>
      <c r="B315" s="2">
        <v>102.9195</v>
      </c>
      <c r="C315">
        <v>1.371652152033081E-2</v>
      </c>
      <c r="D315" t="str">
        <f>_xlfn.XLOOKUP(A315,[1]Sheet2!$C:$C,[1]Sheet2!$B:$B,"")</f>
        <v/>
      </c>
      <c r="E315" t="str">
        <f>_xlfn.XLOOKUP(A315,[2]Sheet2!$C:$C,[2]Sheet2!$B:$B,"")</f>
        <v/>
      </c>
      <c r="F315">
        <f>_xlfn.XLOOKUP(A315,'[3]Monthly-Evolution-of-the-Purch'!$C:$C,'[3]Monthly-Evolution-of-the-Purch'!$B:$B,"")</f>
        <v>56.552907580000003</v>
      </c>
      <c r="G315" t="str">
        <f>_xlfn.XLOOKUP(A315,[4]NGDPRSAXDCSAQ_PCH!$A:$A,[5]NGDPRSAXDCSAQ_PCH!$B:$B,"")</f>
        <v/>
      </c>
    </row>
    <row r="316" spans="1:7" x14ac:dyDescent="0.2">
      <c r="A316" s="3">
        <v>41456</v>
      </c>
      <c r="B316" s="2">
        <v>107.93318181818178</v>
      </c>
      <c r="C316" t="e">
        <v>#NUM!</v>
      </c>
      <c r="D316" t="str">
        <f>_xlfn.XLOOKUP(A316,[1]Sheet2!$C:$C,[1]Sheet2!$B:$B,"")</f>
        <v/>
      </c>
      <c r="E316" t="str">
        <f>_xlfn.XLOOKUP(A316,[2]Sheet2!$C:$C,[2]Sheet2!$B:$B,"")</f>
        <v/>
      </c>
      <c r="F316">
        <f>_xlfn.XLOOKUP(A316,'[3]Monthly-Evolution-of-the-Purch'!$C:$C,'[3]Monthly-Evolution-of-the-Purch'!$B:$B,"")</f>
        <v>56.622574649999997</v>
      </c>
      <c r="G316">
        <f>_xlfn.XLOOKUP(A316,[4]NGDPRSAXDCSAQ_PCH!$A:$A,[5]NGDPRSAXDCSAQ_PCH!$B:$B,"")</f>
        <v>2.20831</v>
      </c>
    </row>
    <row r="317" spans="1:7" x14ac:dyDescent="0.2">
      <c r="A317" s="3">
        <v>41487</v>
      </c>
      <c r="B317" s="2">
        <v>111.28045454545453</v>
      </c>
      <c r="C317" t="e">
        <v>#NUM!</v>
      </c>
      <c r="D317" t="str">
        <f>_xlfn.XLOOKUP(A317,[1]Sheet2!$C:$C,[1]Sheet2!$B:$B,"")</f>
        <v/>
      </c>
      <c r="E317" t="str">
        <f>_xlfn.XLOOKUP(A317,[2]Sheet2!$C:$C,[2]Sheet2!$B:$B,"")</f>
        <v/>
      </c>
      <c r="F317">
        <f>_xlfn.XLOOKUP(A317,'[3]Monthly-Evolution-of-the-Purch'!$C:$C,'[3]Monthly-Evolution-of-the-Purch'!$B:$B,"")</f>
        <v>57.495513940000002</v>
      </c>
      <c r="G317" t="str">
        <f>_xlfn.XLOOKUP(A317,[4]NGDPRSAXDCSAQ_PCH!$A:$A,[5]NGDPRSAXDCSAQ_PCH!$B:$B,"")</f>
        <v/>
      </c>
    </row>
    <row r="318" spans="1:7" x14ac:dyDescent="0.2">
      <c r="A318" s="3">
        <v>41518</v>
      </c>
      <c r="B318" s="2">
        <v>111.59649999999999</v>
      </c>
      <c r="C318" t="e">
        <v>#DIV/0!</v>
      </c>
      <c r="D318" t="str">
        <f>_xlfn.XLOOKUP(A318,[1]Sheet2!$C:$C,[1]Sheet2!$B:$B,"")</f>
        <v/>
      </c>
      <c r="E318" t="str">
        <f>_xlfn.XLOOKUP(A318,[2]Sheet2!$C:$C,[2]Sheet2!$B:$B,"")</f>
        <v/>
      </c>
      <c r="F318">
        <f>_xlfn.XLOOKUP(A318,'[3]Monthly-Evolution-of-the-Purch'!$C:$C,'[3]Monthly-Evolution-of-the-Purch'!$B:$B,"")</f>
        <v>58.697554959999998</v>
      </c>
      <c r="G318" t="str">
        <f>_xlfn.XLOOKUP(A318,[4]NGDPRSAXDCSAQ_PCH!$A:$A,[5]NGDPRSAXDCSAQ_PCH!$B:$B,"")</f>
        <v/>
      </c>
    </row>
    <row r="319" spans="1:7" x14ac:dyDescent="0.2">
      <c r="A319" s="3">
        <v>41548</v>
      </c>
      <c r="B319" s="2">
        <v>109.07652173913043</v>
      </c>
      <c r="C319">
        <v>1.1203958424949496E-2</v>
      </c>
      <c r="D319" t="str">
        <f>_xlfn.XLOOKUP(A319,[1]Sheet2!$C:$C,[1]Sheet2!$B:$B,"")</f>
        <v/>
      </c>
      <c r="E319" t="str">
        <f>_xlfn.XLOOKUP(A319,[2]Sheet2!$C:$C,[2]Sheet2!$B:$B,"")</f>
        <v/>
      </c>
      <c r="F319">
        <f>_xlfn.XLOOKUP(A319,'[3]Monthly-Evolution-of-the-Purch'!$C:$C,'[3]Monthly-Evolution-of-the-Purch'!$B:$B,"")</f>
        <v>56.68925754</v>
      </c>
      <c r="G319">
        <f>_xlfn.XLOOKUP(A319,[4]NGDPRSAXDCSAQ_PCH!$A:$A,[5]NGDPRSAXDCSAQ_PCH!$B:$B,"")</f>
        <v>-2.64E-2</v>
      </c>
    </row>
    <row r="320" spans="1:7" x14ac:dyDescent="0.2">
      <c r="A320" s="3">
        <v>41579</v>
      </c>
      <c r="B320" s="2">
        <v>107.79199999999999</v>
      </c>
      <c r="C320" t="e">
        <v>#NUM!</v>
      </c>
      <c r="D320" t="str">
        <f>_xlfn.XLOOKUP(A320,[1]Sheet2!$C:$C,[1]Sheet2!$B:$B,"")</f>
        <v/>
      </c>
      <c r="E320" t="str">
        <f>_xlfn.XLOOKUP(A320,[2]Sheet2!$C:$C,[2]Sheet2!$B:$B,"")</f>
        <v/>
      </c>
      <c r="F320">
        <f>_xlfn.XLOOKUP(A320,'[3]Monthly-Evolution-of-the-Purch'!$C:$C,'[3]Monthly-Evolution-of-the-Purch'!$B:$B,"")</f>
        <v>57.087453699999998</v>
      </c>
      <c r="G320" t="str">
        <f>_xlfn.XLOOKUP(A320,[4]NGDPRSAXDCSAQ_PCH!$A:$A,[5]NGDPRSAXDCSAQ_PCH!$B:$B,"")</f>
        <v/>
      </c>
    </row>
    <row r="321" spans="1:7" x14ac:dyDescent="0.2">
      <c r="A321" s="3">
        <v>41609</v>
      </c>
      <c r="B321" s="2">
        <v>110.75666666666666</v>
      </c>
      <c r="C321" t="e">
        <v>#NUM!</v>
      </c>
      <c r="D321" t="str">
        <f>_xlfn.XLOOKUP(A321,[1]Sheet2!$C:$C,[1]Sheet2!$B:$B,"")</f>
        <v/>
      </c>
      <c r="E321" t="str">
        <f>_xlfn.XLOOKUP(A321,[2]Sheet2!$C:$C,[2]Sheet2!$B:$B,"")</f>
        <v/>
      </c>
      <c r="F321">
        <f>_xlfn.XLOOKUP(A321,'[3]Monthly-Evolution-of-the-Purch'!$C:$C,'[3]Monthly-Evolution-of-the-Purch'!$B:$B,"")</f>
        <v>58.732596440000002</v>
      </c>
      <c r="G321" t="str">
        <f>_xlfn.XLOOKUP(A321,[4]NGDPRSAXDCSAQ_PCH!$A:$A,[5]NGDPRSAXDCSAQ_PCH!$B:$B,"")</f>
        <v/>
      </c>
    </row>
    <row r="322" spans="1:7" x14ac:dyDescent="0.2">
      <c r="A322" s="3">
        <v>41640</v>
      </c>
      <c r="B322" s="2">
        <v>108.11772727272728</v>
      </c>
      <c r="C322" t="e">
        <v>#DIV/0!</v>
      </c>
      <c r="D322">
        <f>_xlfn.XLOOKUP(A322,[1]Sheet2!$C:$C,[1]Sheet2!$B:$B,"")</f>
        <v>85.583427565206151</v>
      </c>
      <c r="E322" t="str">
        <f>_xlfn.XLOOKUP(A322,[2]Sheet2!$C:$C,[2]Sheet2!$B:$B,"")</f>
        <v/>
      </c>
      <c r="F322">
        <f>_xlfn.XLOOKUP(A322,'[3]Monthly-Evolution-of-the-Purch'!$C:$C,'[3]Monthly-Evolution-of-the-Purch'!$B:$B,"")</f>
        <v>59.706070850000003</v>
      </c>
      <c r="G322">
        <f>_xlfn.XLOOKUP(A322,[4]NGDPRSAXDCSAQ_PCH!$A:$A,[5]NGDPRSAXDCSAQ_PCH!$B:$B,"")</f>
        <v>2.2337400000000001</v>
      </c>
    </row>
    <row r="323" spans="1:7" x14ac:dyDescent="0.2">
      <c r="A323" s="3">
        <v>41671</v>
      </c>
      <c r="B323" s="2">
        <v>108.90052631578948</v>
      </c>
      <c r="C323" t="e">
        <v>#NUM!</v>
      </c>
      <c r="D323">
        <f>_xlfn.XLOOKUP(A323,[1]Sheet2!$C:$C,[1]Sheet2!$B:$B,"")</f>
        <v>85.717801119635709</v>
      </c>
      <c r="E323" t="str">
        <f>_xlfn.XLOOKUP(A323,[2]Sheet2!$C:$C,[2]Sheet2!$B:$B,"")</f>
        <v/>
      </c>
      <c r="F323">
        <f>_xlfn.XLOOKUP(A323,'[3]Monthly-Evolution-of-the-Purch'!$C:$C,'[3]Monthly-Evolution-of-the-Purch'!$B:$B,"")</f>
        <v>58.639704129999998</v>
      </c>
      <c r="G323" t="str">
        <f>_xlfn.XLOOKUP(A323,[4]NGDPRSAXDCSAQ_PCH!$A:$A,[5]NGDPRSAXDCSAQ_PCH!$B:$B,"")</f>
        <v/>
      </c>
    </row>
    <row r="324" spans="1:7" x14ac:dyDescent="0.2">
      <c r="A324" s="3">
        <v>41699</v>
      </c>
      <c r="B324" s="2">
        <v>107.48095238095237</v>
      </c>
      <c r="C324">
        <v>7.6635771537634711E-3</v>
      </c>
      <c r="D324">
        <f>_xlfn.XLOOKUP(A324,[1]Sheet2!$C:$C,[1]Sheet2!$B:$B,"")</f>
        <v>85.740227494860989</v>
      </c>
      <c r="E324" t="str">
        <f>_xlfn.XLOOKUP(A324,[2]Sheet2!$C:$C,[2]Sheet2!$B:$B,"")</f>
        <v/>
      </c>
      <c r="F324">
        <f>_xlfn.XLOOKUP(A324,'[3]Monthly-Evolution-of-the-Purch'!$C:$C,'[3]Monthly-Evolution-of-the-Purch'!$B:$B,"")</f>
        <v>57.040903579999998</v>
      </c>
      <c r="G324" t="str">
        <f>_xlfn.XLOOKUP(A324,[4]NGDPRSAXDCSAQ_PCH!$A:$A,[5]NGDPRSAXDCSAQ_PCH!$B:$B,"")</f>
        <v/>
      </c>
    </row>
    <row r="325" spans="1:7" x14ac:dyDescent="0.2">
      <c r="A325" s="3">
        <v>41730</v>
      </c>
      <c r="B325" s="2">
        <v>107.7552380952381</v>
      </c>
      <c r="C325" t="e">
        <v>#NUM!</v>
      </c>
      <c r="D325">
        <f>_xlfn.XLOOKUP(A325,[1]Sheet2!$C:$C,[1]Sheet2!$B:$B,"")</f>
        <v>86.122053764656826</v>
      </c>
      <c r="E325" t="str">
        <f>_xlfn.XLOOKUP(A325,[2]Sheet2!$C:$C,[2]Sheet2!$B:$B,"")</f>
        <v/>
      </c>
      <c r="F325">
        <f>_xlfn.XLOOKUP(A325,'[3]Monthly-Evolution-of-the-Purch'!$C:$C,'[3]Monthly-Evolution-of-the-Purch'!$B:$B,"")</f>
        <v>58.519270390000003</v>
      </c>
      <c r="G325">
        <f>_xlfn.XLOOKUP(A325,[4]NGDPRSAXDCSAQ_PCH!$A:$A,[5]NGDPRSAXDCSAQ_PCH!$B:$B,"")</f>
        <v>-0.24793000000000001</v>
      </c>
    </row>
    <row r="326" spans="1:7" x14ac:dyDescent="0.2">
      <c r="A326" s="3">
        <v>41760</v>
      </c>
      <c r="B326" s="2">
        <v>109.53909090909092</v>
      </c>
      <c r="C326">
        <v>5.8654419196130739E-3</v>
      </c>
      <c r="D326">
        <f>_xlfn.XLOOKUP(A326,[1]Sheet2!$C:$C,[1]Sheet2!$B:$B,"")</f>
        <v>86.136204011462283</v>
      </c>
      <c r="E326" t="str">
        <f>_xlfn.XLOOKUP(A326,[2]Sheet2!$C:$C,[2]Sheet2!$B:$B,"")</f>
        <v/>
      </c>
      <c r="F326">
        <f>_xlfn.XLOOKUP(A326,'[3]Monthly-Evolution-of-the-Purch'!$C:$C,'[3]Monthly-Evolution-of-the-Purch'!$B:$B,"")</f>
        <v>57.040496259999998</v>
      </c>
      <c r="G326" t="str">
        <f>_xlfn.XLOOKUP(A326,[4]NGDPRSAXDCSAQ_PCH!$A:$A,[5]NGDPRSAXDCSAQ_PCH!$B:$B,"")</f>
        <v/>
      </c>
    </row>
    <row r="327" spans="1:7" x14ac:dyDescent="0.2">
      <c r="A327" s="3">
        <v>41791</v>
      </c>
      <c r="B327" s="2">
        <v>111.7952380952381</v>
      </c>
      <c r="C327">
        <v>8.4753013523912023E-3</v>
      </c>
      <c r="D327">
        <f>_xlfn.XLOOKUP(A327,[1]Sheet2!$C:$C,[1]Sheet2!$B:$B,"")</f>
        <v>86.199525212496795</v>
      </c>
      <c r="E327" t="str">
        <f>_xlfn.XLOOKUP(A327,[2]Sheet2!$C:$C,[2]Sheet2!$B:$B,"")</f>
        <v/>
      </c>
      <c r="F327">
        <f>_xlfn.XLOOKUP(A327,'[3]Monthly-Evolution-of-the-Purch'!$C:$C,'[3]Monthly-Evolution-of-the-Purch'!$B:$B,"")</f>
        <v>59.162142950000003</v>
      </c>
      <c r="G327" t="str">
        <f>_xlfn.XLOOKUP(A327,[4]NGDPRSAXDCSAQ_PCH!$A:$A,[5]NGDPRSAXDCSAQ_PCH!$B:$B,"")</f>
        <v/>
      </c>
    </row>
    <row r="328" spans="1:7" x14ac:dyDescent="0.2">
      <c r="A328" s="3">
        <v>41821</v>
      </c>
      <c r="B328" s="2">
        <v>106.76818181818182</v>
      </c>
      <c r="C328" t="e">
        <v>#NUM!</v>
      </c>
      <c r="D328">
        <f>_xlfn.XLOOKUP(A328,[1]Sheet2!$C:$C,[1]Sheet2!$B:$B,"")</f>
        <v>86.457724837102887</v>
      </c>
      <c r="E328" t="str">
        <f>_xlfn.XLOOKUP(A328,[2]Sheet2!$C:$C,[2]Sheet2!$B:$B,"")</f>
        <v/>
      </c>
      <c r="F328">
        <f>_xlfn.XLOOKUP(A328,'[3]Monthly-Evolution-of-the-Purch'!$C:$C,'[3]Monthly-Evolution-of-the-Purch'!$B:$B,"")</f>
        <v>60.138837719999998</v>
      </c>
      <c r="G328">
        <f>_xlfn.XLOOKUP(A328,[4]NGDPRSAXDCSAQ_PCH!$A:$A,[5]NGDPRSAXDCSAQ_PCH!$B:$B,"")</f>
        <v>0.57396999999999998</v>
      </c>
    </row>
    <row r="329" spans="1:7" x14ac:dyDescent="0.2">
      <c r="A329" s="3">
        <v>41852</v>
      </c>
      <c r="B329" s="2">
        <v>101.60809523809523</v>
      </c>
      <c r="C329" t="e">
        <v>#NUM!</v>
      </c>
      <c r="D329">
        <f>_xlfn.XLOOKUP(A329,[1]Sheet2!$C:$C,[1]Sheet2!$B:$B,"")</f>
        <v>86.553065740393336</v>
      </c>
      <c r="E329" t="str">
        <f>_xlfn.XLOOKUP(A329,[2]Sheet2!$C:$C,[2]Sheet2!$B:$B,"")</f>
        <v/>
      </c>
      <c r="F329">
        <f>_xlfn.XLOOKUP(A329,'[3]Monthly-Evolution-of-the-Purch'!$C:$C,'[3]Monthly-Evolution-of-the-Purch'!$B:$B,"")</f>
        <v>60.68340577</v>
      </c>
      <c r="G329" t="str">
        <f>_xlfn.XLOOKUP(A329,[4]NGDPRSAXDCSAQ_PCH!$A:$A,[5]NGDPRSAXDCSAQ_PCH!$B:$B,"")</f>
        <v/>
      </c>
    </row>
    <row r="330" spans="1:7" x14ac:dyDescent="0.2">
      <c r="A330" s="3">
        <v>41883</v>
      </c>
      <c r="B330" s="2">
        <v>97.091428571428565</v>
      </c>
      <c r="C330" t="e">
        <v>#DIV/0!</v>
      </c>
      <c r="D330">
        <f>_xlfn.XLOOKUP(A330,[1]Sheet2!$C:$C,[1]Sheet2!$B:$B,"")</f>
        <v>86.601983695189887</v>
      </c>
      <c r="E330" t="str">
        <f>_xlfn.XLOOKUP(A330,[2]Sheet2!$C:$C,[2]Sheet2!$B:$B,"")</f>
        <v/>
      </c>
      <c r="F330">
        <f>_xlfn.XLOOKUP(A330,'[3]Monthly-Evolution-of-the-Purch'!$C:$C,'[3]Monthly-Evolution-of-the-Purch'!$B:$B,"")</f>
        <v>61.791832700000001</v>
      </c>
      <c r="G330" t="str">
        <f>_xlfn.XLOOKUP(A330,[4]NGDPRSAXDCSAQ_PCH!$A:$A,[5]NGDPRSAXDCSAQ_PCH!$B:$B,"")</f>
        <v/>
      </c>
    </row>
    <row r="331" spans="1:7" x14ac:dyDescent="0.2">
      <c r="A331" s="3">
        <v>41913</v>
      </c>
      <c r="B331" s="2">
        <v>87.425217391304372</v>
      </c>
      <c r="C331">
        <v>1.3214007859354282E-2</v>
      </c>
      <c r="D331">
        <f>_xlfn.XLOOKUP(A331,[1]Sheet2!$C:$C,[1]Sheet2!$B:$B,"")</f>
        <v>86.668478611670565</v>
      </c>
      <c r="E331" t="str">
        <f>_xlfn.XLOOKUP(A331,[2]Sheet2!$C:$C,[2]Sheet2!$B:$B,"")</f>
        <v/>
      </c>
      <c r="F331">
        <f>_xlfn.XLOOKUP(A331,'[3]Monthly-Evolution-of-the-Purch'!$C:$C,'[3]Monthly-Evolution-of-the-Purch'!$B:$B,"")</f>
        <v>59.093606770000001</v>
      </c>
      <c r="G331">
        <f>_xlfn.XLOOKUP(A331,[4]NGDPRSAXDCSAQ_PCH!$A:$A,[5]NGDPRSAXDCSAQ_PCH!$B:$B,"")</f>
        <v>0.17637</v>
      </c>
    </row>
    <row r="332" spans="1:7" x14ac:dyDescent="0.2">
      <c r="A332" s="3">
        <v>41944</v>
      </c>
      <c r="B332" s="2">
        <v>79.437894736842111</v>
      </c>
      <c r="C332" t="e">
        <v>#NUM!</v>
      </c>
      <c r="D332">
        <f>_xlfn.XLOOKUP(A332,[1]Sheet2!$C:$C,[1]Sheet2!$B:$B,"")</f>
        <v>86.822990296600707</v>
      </c>
      <c r="E332" t="str">
        <f>_xlfn.XLOOKUP(A332,[2]Sheet2!$C:$C,[2]Sheet2!$B:$B,"")</f>
        <v/>
      </c>
      <c r="F332">
        <f>_xlfn.XLOOKUP(A332,'[3]Monthly-Evolution-of-the-Purch'!$C:$C,'[3]Monthly-Evolution-of-the-Purch'!$B:$B,"")</f>
        <v>57.595790630000003</v>
      </c>
      <c r="G332" t="str">
        <f>_xlfn.XLOOKUP(A332,[4]NGDPRSAXDCSAQ_PCH!$A:$A,[5]NGDPRSAXDCSAQ_PCH!$B:$B,"")</f>
        <v/>
      </c>
    </row>
    <row r="333" spans="1:7" x14ac:dyDescent="0.2">
      <c r="A333" s="3">
        <v>41974</v>
      </c>
      <c r="B333" s="2">
        <v>62.334999999999994</v>
      </c>
      <c r="C333" t="e">
        <v>#NUM!</v>
      </c>
      <c r="D333">
        <f>_xlfn.XLOOKUP(A333,[1]Sheet2!$C:$C,[1]Sheet2!$B:$B,"")</f>
        <v>86.850328450048409</v>
      </c>
      <c r="E333" t="str">
        <f>_xlfn.XLOOKUP(A333,[2]Sheet2!$C:$C,[2]Sheet2!$B:$B,"")</f>
        <v/>
      </c>
      <c r="F333">
        <f>_xlfn.XLOOKUP(A333,'[3]Monthly-Evolution-of-the-Purch'!$C:$C,'[3]Monthly-Evolution-of-the-Purch'!$B:$B,"")</f>
        <v>57.87536557</v>
      </c>
      <c r="G333" t="str">
        <f>_xlfn.XLOOKUP(A333,[4]NGDPRSAXDCSAQ_PCH!$A:$A,[5]NGDPRSAXDCSAQ_PCH!$B:$B,"")</f>
        <v/>
      </c>
    </row>
    <row r="334" spans="1:7" x14ac:dyDescent="0.2">
      <c r="A334" s="3">
        <v>42005</v>
      </c>
      <c r="B334" s="2">
        <v>47.75950000000001</v>
      </c>
      <c r="C334" t="e">
        <v>#DIV/0!</v>
      </c>
      <c r="D334">
        <f>_xlfn.XLOOKUP(A334,[1]Sheet2!$C:$C,[1]Sheet2!$B:$B,"")</f>
        <v>87.024500538181684</v>
      </c>
      <c r="E334" t="str">
        <f>_xlfn.XLOOKUP(A334,[2]Sheet2!$C:$C,[2]Sheet2!$B:$B,"")</f>
        <v/>
      </c>
      <c r="F334">
        <f>_xlfn.XLOOKUP(A334,'[3]Monthly-Evolution-of-the-Purch'!$C:$C,'[3]Monthly-Evolution-of-the-Purch'!$B:$B,"")</f>
        <v>57.79680699</v>
      </c>
      <c r="G334">
        <f>_xlfn.XLOOKUP(A334,[4]NGDPRSAXDCSAQ_PCH!$A:$A,[5]NGDPRSAXDCSAQ_PCH!$B:$B,"")</f>
        <v>2.9489000000000001</v>
      </c>
    </row>
    <row r="335" spans="1:7" x14ac:dyDescent="0.2">
      <c r="A335" s="3">
        <v>42036</v>
      </c>
      <c r="B335" s="2">
        <v>58.095500000000015</v>
      </c>
      <c r="C335">
        <v>2.9440016870649129E-2</v>
      </c>
      <c r="D335">
        <f>_xlfn.XLOOKUP(A335,[1]Sheet2!$C:$C,[1]Sheet2!$B:$B,"")</f>
        <v>86.915167582210728</v>
      </c>
      <c r="E335" t="str">
        <f>_xlfn.XLOOKUP(A335,[2]Sheet2!$C:$C,[2]Sheet2!$B:$B,"")</f>
        <v/>
      </c>
      <c r="F335">
        <f>_xlfn.XLOOKUP(A335,'[3]Monthly-Evolution-of-the-Purch'!$C:$C,'[3]Monthly-Evolution-of-the-Purch'!$B:$B,"")</f>
        <v>58.531677080000001</v>
      </c>
      <c r="G335" t="str">
        <f>_xlfn.XLOOKUP(A335,[4]NGDPRSAXDCSAQ_PCH!$A:$A,[5]NGDPRSAXDCSAQ_PCH!$B:$B,"")</f>
        <v/>
      </c>
    </row>
    <row r="336" spans="1:7" x14ac:dyDescent="0.2">
      <c r="A336" s="3">
        <v>42064</v>
      </c>
      <c r="B336" s="2">
        <v>55.885454545454543</v>
      </c>
      <c r="C336">
        <v>2.6287196930179609E-2</v>
      </c>
      <c r="D336">
        <f>_xlfn.XLOOKUP(A336,[1]Sheet2!$C:$C,[1]Sheet2!$B:$B,"")</f>
        <v>87.048015920943811</v>
      </c>
      <c r="E336" t="str">
        <f>_xlfn.XLOOKUP(A336,[2]Sheet2!$C:$C,[2]Sheet2!$B:$B,"")</f>
        <v/>
      </c>
      <c r="F336">
        <f>_xlfn.XLOOKUP(A336,'[3]Monthly-Evolution-of-the-Purch'!$C:$C,'[3]Monthly-Evolution-of-the-Purch'!$B:$B,"")</f>
        <v>60.117240580000001</v>
      </c>
      <c r="G336" t="str">
        <f>_xlfn.XLOOKUP(A336,[4]NGDPRSAXDCSAQ_PCH!$A:$A,[5]NGDPRSAXDCSAQ_PCH!$B:$B,"")</f>
        <v/>
      </c>
    </row>
    <row r="337" spans="1:7" x14ac:dyDescent="0.2">
      <c r="A337" s="3">
        <v>42095</v>
      </c>
      <c r="B337" s="2">
        <v>59.524285714285725</v>
      </c>
      <c r="C337" t="e">
        <v>#NUM!</v>
      </c>
      <c r="D337">
        <f>_xlfn.XLOOKUP(A337,[1]Sheet2!$C:$C,[1]Sheet2!$B:$B,"")</f>
        <v>87.074091643470723</v>
      </c>
      <c r="E337" t="str">
        <f>_xlfn.XLOOKUP(A337,[2]Sheet2!$C:$C,[2]Sheet2!$B:$B,"")</f>
        <v/>
      </c>
      <c r="F337">
        <f>_xlfn.XLOOKUP(A337,'[3]Monthly-Evolution-of-the-Purch'!$C:$C,'[3]Monthly-Evolution-of-the-Purch'!$B:$B,"")</f>
        <v>58.309524860000003</v>
      </c>
      <c r="G337">
        <f>_xlfn.XLOOKUP(A337,[4]NGDPRSAXDCSAQ_PCH!$A:$A,[5]NGDPRSAXDCSAQ_PCH!$B:$B,"")</f>
        <v>1.7309399999999999</v>
      </c>
    </row>
    <row r="338" spans="1:7" x14ac:dyDescent="0.2">
      <c r="A338" s="3">
        <v>42125</v>
      </c>
      <c r="B338" s="2">
        <v>64.075000000000003</v>
      </c>
      <c r="C338" t="e">
        <v>#NUM!</v>
      </c>
      <c r="D338">
        <f>_xlfn.XLOOKUP(A338,[1]Sheet2!$C:$C,[1]Sheet2!$B:$B,"")</f>
        <v>87.244082520137837</v>
      </c>
      <c r="E338" t="str">
        <f>_xlfn.XLOOKUP(A338,[2]Sheet2!$C:$C,[2]Sheet2!$B:$B,"")</f>
        <v/>
      </c>
      <c r="F338">
        <f>_xlfn.XLOOKUP(A338,'[3]Monthly-Evolution-of-the-Purch'!$C:$C,'[3]Monthly-Evolution-of-the-Purch'!$B:$B,"")</f>
        <v>57.005651950000001</v>
      </c>
      <c r="G338" t="str">
        <f>_xlfn.XLOOKUP(A338,[4]NGDPRSAXDCSAQ_PCH!$A:$A,[5]NGDPRSAXDCSAQ_PCH!$B:$B,"")</f>
        <v/>
      </c>
    </row>
    <row r="339" spans="1:7" x14ac:dyDescent="0.2">
      <c r="A339" s="3">
        <v>42156</v>
      </c>
      <c r="B339" s="2">
        <v>61.477727272727286</v>
      </c>
      <c r="C339">
        <v>2.0152730366874379E-2</v>
      </c>
      <c r="D339">
        <f>_xlfn.XLOOKUP(A339,[1]Sheet2!$C:$C,[1]Sheet2!$B:$B,"")</f>
        <v>87.313401923642672</v>
      </c>
      <c r="E339" t="str">
        <f>_xlfn.XLOOKUP(A339,[2]Sheet2!$C:$C,[2]Sheet2!$B:$B,"")</f>
        <v/>
      </c>
      <c r="F339">
        <f>_xlfn.XLOOKUP(A339,'[3]Monthly-Evolution-of-the-Purch'!$C:$C,'[3]Monthly-Evolution-of-the-Purch'!$B:$B,"")</f>
        <v>56.124527090000001</v>
      </c>
      <c r="G339" t="str">
        <f>_xlfn.XLOOKUP(A339,[4]NGDPRSAXDCSAQ_PCH!$A:$A,[5]NGDPRSAXDCSAQ_PCH!$B:$B,"")</f>
        <v/>
      </c>
    </row>
    <row r="340" spans="1:7" x14ac:dyDescent="0.2">
      <c r="A340" s="3">
        <v>42186</v>
      </c>
      <c r="B340" s="2">
        <v>56.561304347826088</v>
      </c>
      <c r="C340">
        <v>2.3198796590255404E-2</v>
      </c>
      <c r="D340">
        <f>_xlfn.XLOOKUP(A340,[1]Sheet2!$C:$C,[1]Sheet2!$B:$B,"")</f>
        <v>87.398758713984861</v>
      </c>
      <c r="E340" t="str">
        <f>_xlfn.XLOOKUP(A340,[2]Sheet2!$C:$C,[2]Sheet2!$B:$B,"")</f>
        <v/>
      </c>
      <c r="F340">
        <f>_xlfn.XLOOKUP(A340,'[3]Monthly-Evolution-of-the-Purch'!$C:$C,'[3]Monthly-Evolution-of-the-Purch'!$B:$B,"")</f>
        <v>57.729508199999998</v>
      </c>
      <c r="G340">
        <f>_xlfn.XLOOKUP(A340,[4]NGDPRSAXDCSAQ_PCH!$A:$A,[5]NGDPRSAXDCSAQ_PCH!$B:$B,"")</f>
        <v>-3.3340000000000002E-2</v>
      </c>
    </row>
    <row r="341" spans="1:7" x14ac:dyDescent="0.2">
      <c r="A341" s="3">
        <v>42217</v>
      </c>
      <c r="B341" s="2">
        <v>46.515000000000001</v>
      </c>
      <c r="C341" t="e">
        <v>#NUM!</v>
      </c>
      <c r="D341">
        <f>_xlfn.XLOOKUP(A341,[1]Sheet2!$C:$C,[1]Sheet2!$B:$B,"")</f>
        <v>87.353128640398808</v>
      </c>
      <c r="E341" t="str">
        <f>_xlfn.XLOOKUP(A341,[2]Sheet2!$C:$C,[2]Sheet2!$B:$B,"")</f>
        <v/>
      </c>
      <c r="F341">
        <f>_xlfn.XLOOKUP(A341,'[3]Monthly-Evolution-of-the-Purch'!$C:$C,'[3]Monthly-Evolution-of-the-Purch'!$B:$B,"")</f>
        <v>58.679401990000002</v>
      </c>
      <c r="G341" t="str">
        <f>_xlfn.XLOOKUP(A341,[4]NGDPRSAXDCSAQ_PCH!$A:$A,[5]NGDPRSAXDCSAQ_PCH!$B:$B,"")</f>
        <v/>
      </c>
    </row>
    <row r="342" spans="1:7" x14ac:dyDescent="0.2">
      <c r="A342" s="3">
        <v>42248</v>
      </c>
      <c r="B342" s="2">
        <v>47.62318181818182</v>
      </c>
      <c r="C342">
        <v>3.1265328417188078E-2</v>
      </c>
      <c r="D342">
        <f>_xlfn.XLOOKUP(A342,[1]Sheet2!$C:$C,[1]Sheet2!$B:$B,"")</f>
        <v>87.394790859141082</v>
      </c>
      <c r="E342" t="str">
        <f>_xlfn.XLOOKUP(A342,[2]Sheet2!$C:$C,[2]Sheet2!$B:$B,"")</f>
        <v/>
      </c>
      <c r="F342">
        <f>_xlfn.XLOOKUP(A342,'[3]Monthly-Evolution-of-the-Purch'!$C:$C,'[3]Monthly-Evolution-of-the-Purch'!$B:$B,"")</f>
        <v>56.496710530000001</v>
      </c>
      <c r="G342" t="str">
        <f>_xlfn.XLOOKUP(A342,[4]NGDPRSAXDCSAQ_PCH!$A:$A,[5]NGDPRSAXDCSAQ_PCH!$B:$B,"")</f>
        <v/>
      </c>
    </row>
    <row r="343" spans="1:7" x14ac:dyDescent="0.2">
      <c r="A343" s="3">
        <v>42278</v>
      </c>
      <c r="B343" s="2">
        <v>48.43</v>
      </c>
      <c r="C343">
        <v>2.4046074636922564E-2</v>
      </c>
      <c r="D343">
        <f>_xlfn.XLOOKUP(A343,[1]Sheet2!$C:$C,[1]Sheet2!$B:$B,"")</f>
        <v>87.560938491583983</v>
      </c>
      <c r="E343" t="str">
        <f>_xlfn.XLOOKUP(A343,[2]Sheet2!$C:$C,[2]Sheet2!$B:$B,"")</f>
        <v/>
      </c>
      <c r="F343">
        <f>_xlfn.XLOOKUP(A343,'[3]Monthly-Evolution-of-the-Purch'!$C:$C,'[3]Monthly-Evolution-of-the-Purch'!$B:$B,"")</f>
        <v>55.65144445</v>
      </c>
      <c r="G343">
        <f>_xlfn.XLOOKUP(A343,[4]NGDPRSAXDCSAQ_PCH!$A:$A,[5]NGDPRSAXDCSAQ_PCH!$B:$B,"")</f>
        <v>5.91E-2</v>
      </c>
    </row>
    <row r="344" spans="1:7" x14ac:dyDescent="0.2">
      <c r="A344" s="3">
        <v>42309</v>
      </c>
      <c r="B344" s="2">
        <v>44.267619047619057</v>
      </c>
      <c r="C344">
        <v>2.4291221096156498E-2</v>
      </c>
      <c r="D344">
        <f>_xlfn.XLOOKUP(A344,[1]Sheet2!$C:$C,[1]Sheet2!$B:$B,"")</f>
        <v>87.679641543943717</v>
      </c>
      <c r="E344" t="str">
        <f>_xlfn.XLOOKUP(A344,[2]Sheet2!$C:$C,[2]Sheet2!$B:$B,"")</f>
        <v/>
      </c>
      <c r="F344">
        <f>_xlfn.XLOOKUP(A344,'[3]Monthly-Evolution-of-the-Purch'!$C:$C,'[3]Monthly-Evolution-of-the-Purch'!$B:$B,"")</f>
        <v>56.310509449999998</v>
      </c>
      <c r="G344" t="str">
        <f>_xlfn.XLOOKUP(A344,[4]NGDPRSAXDCSAQ_PCH!$A:$A,[5]NGDPRSAXDCSAQ_PCH!$B:$B,"")</f>
        <v/>
      </c>
    </row>
    <row r="345" spans="1:7" x14ac:dyDescent="0.2">
      <c r="A345" s="3">
        <v>42339</v>
      </c>
      <c r="B345" s="2">
        <v>38.005454545454548</v>
      </c>
      <c r="C345" t="e">
        <v>#NUM!</v>
      </c>
      <c r="D345">
        <f>_xlfn.XLOOKUP(A345,[1]Sheet2!$C:$C,[1]Sheet2!$B:$B,"")</f>
        <v>87.706557052364815</v>
      </c>
      <c r="E345" t="str">
        <f>_xlfn.XLOOKUP(A345,[2]Sheet2!$C:$C,[2]Sheet2!$B:$B,"")</f>
        <v/>
      </c>
      <c r="F345">
        <f>_xlfn.XLOOKUP(A345,'[3]Monthly-Evolution-of-the-Purch'!$C:$C,'[3]Monthly-Evolution-of-the-Purch'!$B:$B,"")</f>
        <v>54.385152050000002</v>
      </c>
      <c r="G345" t="str">
        <f>_xlfn.XLOOKUP(A345,[4]NGDPRSAXDCSAQ_PCH!$A:$A,[5]NGDPRSAXDCSAQ_PCH!$B:$B,"")</f>
        <v/>
      </c>
    </row>
    <row r="346" spans="1:7" x14ac:dyDescent="0.2">
      <c r="A346" s="3">
        <v>42370</v>
      </c>
      <c r="B346" s="2">
        <v>30.6995</v>
      </c>
      <c r="C346" t="e">
        <v>#DIV/0!</v>
      </c>
      <c r="D346">
        <f>_xlfn.XLOOKUP(A346,[1]Sheet2!$C:$C,[1]Sheet2!$B:$B,"")</f>
        <v>89.859149753427687</v>
      </c>
      <c r="E346" t="str">
        <f>_xlfn.XLOOKUP(A346,[2]Sheet2!$C:$C,[2]Sheet2!$B:$B,"")</f>
        <v/>
      </c>
      <c r="F346">
        <f>_xlfn.XLOOKUP(A346,'[3]Monthly-Evolution-of-the-Purch'!$C:$C,'[3]Monthly-Evolution-of-the-Purch'!$B:$B,"")</f>
        <v>53.865588420000002</v>
      </c>
      <c r="G346">
        <f>_xlfn.XLOOKUP(A346,[4]NGDPRSAXDCSAQ_PCH!$A:$A,[5]NGDPRSAXDCSAQ_PCH!$B:$B,"")</f>
        <v>1.2274799999999999</v>
      </c>
    </row>
    <row r="347" spans="1:7" x14ac:dyDescent="0.2">
      <c r="A347" s="3">
        <v>42401</v>
      </c>
      <c r="B347" s="2">
        <v>32.1815</v>
      </c>
      <c r="C347" t="e">
        <v>#NUM!</v>
      </c>
      <c r="D347">
        <f>_xlfn.XLOOKUP(A347,[1]Sheet2!$C:$C,[1]Sheet2!$B:$B,"")</f>
        <v>89.959437235891045</v>
      </c>
      <c r="E347" t="str">
        <f>_xlfn.XLOOKUP(A347,[2]Sheet2!$C:$C,[2]Sheet2!$B:$B,"")</f>
        <v/>
      </c>
      <c r="F347">
        <f>_xlfn.XLOOKUP(A347,'[3]Monthly-Evolution-of-the-Purch'!$C:$C,'[3]Monthly-Evolution-of-the-Purch'!$B:$B,"")</f>
        <v>54.403296400000002</v>
      </c>
      <c r="G347" t="str">
        <f>_xlfn.XLOOKUP(A347,[4]NGDPRSAXDCSAQ_PCH!$A:$A,[5]NGDPRSAXDCSAQ_PCH!$B:$B,"")</f>
        <v/>
      </c>
    </row>
    <row r="348" spans="1:7" x14ac:dyDescent="0.2">
      <c r="A348" s="3">
        <v>42430</v>
      </c>
      <c r="B348" s="2">
        <v>38.210454545454553</v>
      </c>
      <c r="C348" t="e">
        <v>#NUM!</v>
      </c>
      <c r="D348">
        <f>_xlfn.XLOOKUP(A348,[1]Sheet2!$C:$C,[1]Sheet2!$B:$B,"")</f>
        <v>89.970162646458121</v>
      </c>
      <c r="E348" t="str">
        <f>_xlfn.XLOOKUP(A348,[2]Sheet2!$C:$C,[2]Sheet2!$B:$B,"")</f>
        <v/>
      </c>
      <c r="F348">
        <f>_xlfn.XLOOKUP(A348,'[3]Monthly-Evolution-of-the-Purch'!$C:$C,'[3]Monthly-Evolution-of-the-Purch'!$B:$B,"")</f>
        <v>54.504235010000002</v>
      </c>
      <c r="G348" t="str">
        <f>_xlfn.XLOOKUP(A348,[4]NGDPRSAXDCSAQ_PCH!$A:$A,[5]NGDPRSAXDCSAQ_PCH!$B:$B,"")</f>
        <v/>
      </c>
    </row>
    <row r="349" spans="1:7" x14ac:dyDescent="0.2">
      <c r="A349" s="3">
        <v>42461</v>
      </c>
      <c r="B349" s="2">
        <v>41.583333333333336</v>
      </c>
      <c r="C349">
        <v>2.7926241566579427E-2</v>
      </c>
      <c r="D349">
        <f>_xlfn.XLOOKUP(A349,[1]Sheet2!$C:$C,[1]Sheet2!$B:$B,"")</f>
        <v>90.052795501062718</v>
      </c>
      <c r="E349" t="str">
        <f>_xlfn.XLOOKUP(A349,[2]Sheet2!$C:$C,[2]Sheet2!$B:$B,"")</f>
        <v/>
      </c>
      <c r="F349">
        <f>_xlfn.XLOOKUP(A349,'[3]Monthly-Evolution-of-the-Purch'!$C:$C,'[3]Monthly-Evolution-of-the-Purch'!$B:$B,"")</f>
        <v>54.220716189999997</v>
      </c>
      <c r="G349">
        <f>_xlfn.XLOOKUP(A349,[4]NGDPRSAXDCSAQ_PCH!$A:$A,[5]NGDPRSAXDCSAQ_PCH!$B:$B,"")</f>
        <v>-0.13567000000000001</v>
      </c>
    </row>
    <row r="350" spans="1:7" x14ac:dyDescent="0.2">
      <c r="A350" s="3">
        <v>42491</v>
      </c>
      <c r="B350" s="2">
        <v>46.742380952380941</v>
      </c>
      <c r="C350" t="e">
        <v>#NUM!</v>
      </c>
      <c r="D350">
        <f>_xlfn.XLOOKUP(A350,[1]Sheet2!$C:$C,[1]Sheet2!$B:$B,"")</f>
        <v>89.958779906255145</v>
      </c>
      <c r="E350" t="str">
        <f>_xlfn.XLOOKUP(A350,[2]Sheet2!$C:$C,[2]Sheet2!$B:$B,"")</f>
        <v/>
      </c>
      <c r="F350">
        <f>_xlfn.XLOOKUP(A350,'[3]Monthly-Evolution-of-the-Purch'!$C:$C,'[3]Monthly-Evolution-of-the-Purch'!$B:$B,"")</f>
        <v>54.788181219999998</v>
      </c>
      <c r="G350" t="str">
        <f>_xlfn.XLOOKUP(A350,[4]NGDPRSAXDCSAQ_PCH!$A:$A,[5]NGDPRSAXDCSAQ_PCH!$B:$B,"")</f>
        <v/>
      </c>
    </row>
    <row r="351" spans="1:7" x14ac:dyDescent="0.2">
      <c r="A351" s="3">
        <v>42522</v>
      </c>
      <c r="B351" s="2">
        <v>48.247272727272723</v>
      </c>
      <c r="C351">
        <v>2.3872217987237692E-2</v>
      </c>
      <c r="D351">
        <f>_xlfn.XLOOKUP(A351,[1]Sheet2!$C:$C,[1]Sheet2!$B:$B,"")</f>
        <v>89.944786600549193</v>
      </c>
      <c r="E351" t="str">
        <f>_xlfn.XLOOKUP(A351,[2]Sheet2!$C:$C,[2]Sheet2!$B:$B,"")</f>
        <v/>
      </c>
      <c r="F351">
        <f>_xlfn.XLOOKUP(A351,'[3]Monthly-Evolution-of-the-Purch'!$C:$C,'[3]Monthly-Evolution-of-the-Purch'!$B:$B,"")</f>
        <v>54.427655369999997</v>
      </c>
      <c r="G351" t="str">
        <f>_xlfn.XLOOKUP(A351,[4]NGDPRSAXDCSAQ_PCH!$A:$A,[5]NGDPRSAXDCSAQ_PCH!$B:$B,"")</f>
        <v/>
      </c>
    </row>
    <row r="352" spans="1:7" x14ac:dyDescent="0.2">
      <c r="A352" s="3">
        <v>42552</v>
      </c>
      <c r="B352" s="2">
        <v>44.951904761904771</v>
      </c>
      <c r="C352">
        <v>2.4185550021406682E-2</v>
      </c>
      <c r="D352">
        <f>_xlfn.XLOOKUP(A352,[1]Sheet2!$C:$C,[1]Sheet2!$B:$B,"")</f>
        <v>90.055297206588492</v>
      </c>
      <c r="E352" t="str">
        <f>_xlfn.XLOOKUP(A352,[2]Sheet2!$C:$C,[2]Sheet2!$B:$B,"")</f>
        <v/>
      </c>
      <c r="F352">
        <f>_xlfn.XLOOKUP(A352,'[3]Monthly-Evolution-of-the-Purch'!$C:$C,'[3]Monthly-Evolution-of-the-Purch'!$B:$B,"")</f>
        <v>55.962795440000001</v>
      </c>
      <c r="G352">
        <f>_xlfn.XLOOKUP(A352,[4]NGDPRSAXDCSAQ_PCH!$A:$A,[5]NGDPRSAXDCSAQ_PCH!$B:$B,"")</f>
        <v>-0.11244999999999999</v>
      </c>
    </row>
    <row r="353" spans="1:7" x14ac:dyDescent="0.2">
      <c r="A353" s="3">
        <v>42583</v>
      </c>
      <c r="B353" s="2">
        <v>45.843043478260874</v>
      </c>
      <c r="C353">
        <v>2.6389959114705649E-2</v>
      </c>
      <c r="D353">
        <f>_xlfn.XLOOKUP(A353,[1]Sheet2!$C:$C,[1]Sheet2!$B:$B,"")</f>
        <v>89.87738270064024</v>
      </c>
      <c r="E353" t="str">
        <f>_xlfn.XLOOKUP(A353,[2]Sheet2!$C:$C,[2]Sheet2!$B:$B,"")</f>
        <v/>
      </c>
      <c r="F353">
        <f>_xlfn.XLOOKUP(A353,'[3]Monthly-Evolution-of-the-Purch'!$C:$C,'[3]Monthly-Evolution-of-the-Purch'!$B:$B,"")</f>
        <v>56.568045410000003</v>
      </c>
      <c r="G353" t="str">
        <f>_xlfn.XLOOKUP(A353,[4]NGDPRSAXDCSAQ_PCH!$A:$A,[5]NGDPRSAXDCSAQ_PCH!$B:$B,"")</f>
        <v/>
      </c>
    </row>
    <row r="354" spans="1:7" x14ac:dyDescent="0.2">
      <c r="A354" s="3">
        <v>42614</v>
      </c>
      <c r="B354" s="2">
        <v>46.567727272727275</v>
      </c>
      <c r="C354">
        <v>2.3739964954513568E-2</v>
      </c>
      <c r="D354">
        <f>_xlfn.XLOOKUP(A354,[1]Sheet2!$C:$C,[1]Sheet2!$B:$B,"")</f>
        <v>89.931262720555637</v>
      </c>
      <c r="E354" t="str">
        <f>_xlfn.XLOOKUP(A354,[2]Sheet2!$C:$C,[2]Sheet2!$B:$B,"")</f>
        <v/>
      </c>
      <c r="F354">
        <f>_xlfn.XLOOKUP(A354,'[3]Monthly-Evolution-of-the-Purch'!$C:$C,'[3]Monthly-Evolution-of-the-Purch'!$B:$B,"")</f>
        <v>55.276911380000001</v>
      </c>
      <c r="G354" t="str">
        <f>_xlfn.XLOOKUP(A354,[4]NGDPRSAXDCSAQ_PCH!$A:$A,[5]NGDPRSAXDCSAQ_PCH!$B:$B,"")</f>
        <v/>
      </c>
    </row>
    <row r="355" spans="1:7" x14ac:dyDescent="0.2">
      <c r="A355" s="3">
        <v>42644</v>
      </c>
      <c r="B355" s="2">
        <v>49.522380952380956</v>
      </c>
      <c r="C355">
        <v>1.7987132559673793E-2</v>
      </c>
      <c r="D355">
        <f>_xlfn.XLOOKUP(A355,[1]Sheet2!$C:$C,[1]Sheet2!$B:$B,"")</f>
        <v>89.841283317164283</v>
      </c>
      <c r="E355" t="str">
        <f>_xlfn.XLOOKUP(A355,[2]Sheet2!$C:$C,[2]Sheet2!$B:$B,"")</f>
        <v/>
      </c>
      <c r="F355">
        <f>_xlfn.XLOOKUP(A355,'[3]Monthly-Evolution-of-the-Purch'!$C:$C,'[3]Monthly-Evolution-of-the-Purch'!$B:$B,"")</f>
        <v>53.214318079999998</v>
      </c>
      <c r="G355">
        <f>_xlfn.XLOOKUP(A355,[4]NGDPRSAXDCSAQ_PCH!$A:$A,[5]NGDPRSAXDCSAQ_PCH!$B:$B,"")</f>
        <v>0.69628999999999996</v>
      </c>
    </row>
    <row r="356" spans="1:7" x14ac:dyDescent="0.2">
      <c r="A356" s="3">
        <v>42675</v>
      </c>
      <c r="B356" s="2">
        <v>44.734090909090916</v>
      </c>
      <c r="C356">
        <v>3.3588640013131041E-2</v>
      </c>
      <c r="D356">
        <f>_xlfn.XLOOKUP(A356,[1]Sheet2!$C:$C,[1]Sheet2!$B:$B,"")</f>
        <v>89.517965274165661</v>
      </c>
      <c r="E356" t="str">
        <f>_xlfn.XLOOKUP(A356,[2]Sheet2!$C:$C,[2]Sheet2!$B:$B,"")</f>
        <v/>
      </c>
      <c r="F356">
        <f>_xlfn.XLOOKUP(A356,'[3]Monthly-Evolution-of-the-Purch'!$C:$C,'[3]Monthly-Evolution-of-the-Purch'!$B:$B,"")</f>
        <v>55.031813290000002</v>
      </c>
      <c r="G356" t="str">
        <f>_xlfn.XLOOKUP(A356,[4]NGDPRSAXDCSAQ_PCH!$A:$A,[5]NGDPRSAXDCSAQ_PCH!$B:$B,"")</f>
        <v/>
      </c>
    </row>
    <row r="357" spans="1:7" x14ac:dyDescent="0.2">
      <c r="A357" s="3">
        <v>42705</v>
      </c>
      <c r="B357" s="2">
        <v>53.308499999999995</v>
      </c>
      <c r="C357" t="e">
        <v>#NUM!</v>
      </c>
      <c r="D357">
        <f>_xlfn.XLOOKUP(A357,[1]Sheet2!$C:$C,[1]Sheet2!$B:$B,"")</f>
        <v>89.302124196502064</v>
      </c>
      <c r="E357" t="str">
        <f>_xlfn.XLOOKUP(A357,[2]Sheet2!$C:$C,[2]Sheet2!$B:$B,"")</f>
        <v/>
      </c>
      <c r="F357">
        <f>_xlfn.XLOOKUP(A357,'[3]Monthly-Evolution-of-the-Purch'!$C:$C,'[3]Monthly-Evolution-of-the-Purch'!$B:$B,"")</f>
        <v>55.46043719</v>
      </c>
      <c r="G357" t="str">
        <f>_xlfn.XLOOKUP(A357,[4]NGDPRSAXDCSAQ_PCH!$A:$A,[5]NGDPRSAXDCSAQ_PCH!$B:$B,"")</f>
        <v/>
      </c>
    </row>
    <row r="358" spans="1:7" x14ac:dyDescent="0.2">
      <c r="A358" s="3">
        <v>42736</v>
      </c>
      <c r="B358" s="2">
        <v>54.576666666666661</v>
      </c>
      <c r="C358" t="e">
        <v>#DIV/0!</v>
      </c>
      <c r="D358">
        <f>_xlfn.XLOOKUP(A358,[1]Sheet2!$C:$C,[1]Sheet2!$B:$B,"")</f>
        <v>89.229000962442981</v>
      </c>
      <c r="E358">
        <f>_xlfn.XLOOKUP(A358,[2]Sheet2!$C:$C,[2]Sheet2!$B:$B,"")</f>
        <v>7101.86</v>
      </c>
      <c r="F358">
        <f>_xlfn.XLOOKUP(A358,'[3]Monthly-Evolution-of-the-Purch'!$C:$C,'[3]Monthly-Evolution-of-the-Purch'!$B:$B,"")</f>
        <v>56.7129215</v>
      </c>
      <c r="G358">
        <f>_xlfn.XLOOKUP(A358,[4]NGDPRSAXDCSAQ_PCH!$A:$A,[5]NGDPRSAXDCSAQ_PCH!$B:$B,"")</f>
        <v>-0.46468999999999999</v>
      </c>
    </row>
    <row r="359" spans="1:7" x14ac:dyDescent="0.2">
      <c r="A359" s="3">
        <v>42767</v>
      </c>
      <c r="B359" s="2">
        <v>54.869500000000002</v>
      </c>
      <c r="C359">
        <v>1.8640418414161409E-2</v>
      </c>
      <c r="D359">
        <f>_xlfn.XLOOKUP(A359,[1]Sheet2!$C:$C,[1]Sheet2!$B:$B,"")</f>
        <v>89.388938122721399</v>
      </c>
      <c r="E359">
        <f>_xlfn.XLOOKUP(A359,[2]Sheet2!$C:$C,[2]Sheet2!$B:$B,"")</f>
        <v>6972.39</v>
      </c>
      <c r="F359">
        <f>_xlfn.XLOOKUP(A359,'[3]Monthly-Evolution-of-the-Purch'!$C:$C,'[3]Monthly-Evolution-of-the-Purch'!$B:$B,"")</f>
        <v>56.960171219999999</v>
      </c>
      <c r="G359" t="str">
        <f>_xlfn.XLOOKUP(A359,[4]NGDPRSAXDCSAQ_PCH!$A:$A,[5]NGDPRSAXDCSAQ_PCH!$B:$B,"")</f>
        <v/>
      </c>
    </row>
    <row r="360" spans="1:7" x14ac:dyDescent="0.2">
      <c r="A360" s="3">
        <v>42795</v>
      </c>
      <c r="B360" s="2">
        <v>51.589130434782604</v>
      </c>
      <c r="C360">
        <v>1.5938347928792274E-2</v>
      </c>
      <c r="D360">
        <f>_xlfn.XLOOKUP(A360,[1]Sheet2!$C:$C,[1]Sheet2!$B:$B,"")</f>
        <v>89.265237019951442</v>
      </c>
      <c r="E360">
        <f>_xlfn.XLOOKUP(A360,[2]Sheet2!$C:$C,[2]Sheet2!$B:$B,"")</f>
        <v>7001.63</v>
      </c>
      <c r="F360">
        <f>_xlfn.XLOOKUP(A360,'[3]Monthly-Evolution-of-the-Purch'!$C:$C,'[3]Monthly-Evolution-of-the-Purch'!$B:$B,"")</f>
        <v>56.4234407</v>
      </c>
      <c r="G360" t="str">
        <f>_xlfn.XLOOKUP(A360,[4]NGDPRSAXDCSAQ_PCH!$A:$A,[5]NGDPRSAXDCSAQ_PCH!$B:$B,"")</f>
        <v/>
      </c>
    </row>
    <row r="361" spans="1:7" x14ac:dyDescent="0.2">
      <c r="A361" s="3">
        <v>42826</v>
      </c>
      <c r="B361" s="2">
        <v>52.307894736842108</v>
      </c>
      <c r="C361" t="e">
        <v>#NUM!</v>
      </c>
      <c r="D361">
        <f>_xlfn.XLOOKUP(A361,[1]Sheet2!$C:$C,[1]Sheet2!$B:$B,"")</f>
        <v>89.318882971073009</v>
      </c>
      <c r="E361">
        <f>_xlfn.XLOOKUP(A361,[2]Sheet2!$C:$C,[2]Sheet2!$B:$B,"")</f>
        <v>7013.47</v>
      </c>
      <c r="F361">
        <f>_xlfn.XLOOKUP(A361,'[3]Monthly-Evolution-of-the-Purch'!$C:$C,'[3]Monthly-Evolution-of-the-Purch'!$B:$B,"")</f>
        <v>56.522830540000001</v>
      </c>
      <c r="G361">
        <f>_xlfn.XLOOKUP(A361,[4]NGDPRSAXDCSAQ_PCH!$A:$A,[5]NGDPRSAXDCSAQ_PCH!$B:$B,"")</f>
        <v>0.53164999999999996</v>
      </c>
    </row>
    <row r="362" spans="1:7" x14ac:dyDescent="0.2">
      <c r="A362" s="3">
        <v>42856</v>
      </c>
      <c r="B362" s="2">
        <v>50.326521739130442</v>
      </c>
      <c r="C362">
        <v>2.0432070405788483E-2</v>
      </c>
      <c r="D362">
        <f>_xlfn.XLOOKUP(A362,[1]Sheet2!$C:$C,[1]Sheet2!$B:$B,"")</f>
        <v>89.286495789471232</v>
      </c>
      <c r="E362">
        <f>_xlfn.XLOOKUP(A362,[2]Sheet2!$C:$C,[2]Sheet2!$B:$B,"")</f>
        <v>6871.24</v>
      </c>
      <c r="F362">
        <f>_xlfn.XLOOKUP(A362,'[3]Monthly-Evolution-of-the-Purch'!$C:$C,'[3]Monthly-Evolution-of-the-Purch'!$B:$B,"")</f>
        <v>55.337275759999997</v>
      </c>
      <c r="G362" t="str">
        <f>_xlfn.XLOOKUP(A362,[4]NGDPRSAXDCSAQ_PCH!$A:$A,[5]NGDPRSAXDCSAQ_PCH!$B:$B,"")</f>
        <v/>
      </c>
    </row>
    <row r="363" spans="1:7" x14ac:dyDescent="0.2">
      <c r="A363" s="3">
        <v>42887</v>
      </c>
      <c r="B363" s="2">
        <v>46.368181818181824</v>
      </c>
      <c r="C363">
        <v>2.1669819086376801E-2</v>
      </c>
      <c r="D363">
        <f>_xlfn.XLOOKUP(A363,[1]Sheet2!$C:$C,[1]Sheet2!$B:$B,"")</f>
        <v>89.204296260251226</v>
      </c>
      <c r="E363">
        <f>_xlfn.XLOOKUP(A363,[2]Sheet2!$C:$C,[2]Sheet2!$B:$B,"")</f>
        <v>7425.72</v>
      </c>
      <c r="F363">
        <f>_xlfn.XLOOKUP(A363,'[3]Monthly-Evolution-of-the-Purch'!$C:$C,'[3]Monthly-Evolution-of-the-Purch'!$B:$B,"")</f>
        <v>54.2772717</v>
      </c>
      <c r="G363" t="str">
        <f>_xlfn.XLOOKUP(A363,[4]NGDPRSAXDCSAQ_PCH!$A:$A,[5]NGDPRSAXDCSAQ_PCH!$B:$B,"")</f>
        <v/>
      </c>
    </row>
    <row r="364" spans="1:7" x14ac:dyDescent="0.2">
      <c r="A364" s="3">
        <v>42917</v>
      </c>
      <c r="B364" s="2">
        <v>48.478571428571428</v>
      </c>
      <c r="C364">
        <v>1.8559484877249354E-2</v>
      </c>
      <c r="D364">
        <f>_xlfn.XLOOKUP(A364,[1]Sheet2!$C:$C,[1]Sheet2!$B:$B,"")</f>
        <v>89.184298971869481</v>
      </c>
      <c r="E364">
        <f>_xlfn.XLOOKUP(A364,[2]Sheet2!$C:$C,[2]Sheet2!$B:$B,"")</f>
        <v>7094.17</v>
      </c>
      <c r="F364">
        <f>_xlfn.XLOOKUP(A364,'[3]Monthly-Evolution-of-the-Purch'!$C:$C,'[3]Monthly-Evolution-of-the-Purch'!$B:$B,"")</f>
        <v>55.700123570000002</v>
      </c>
      <c r="G364">
        <f>_xlfn.XLOOKUP(A364,[4]NGDPRSAXDCSAQ_PCH!$A:$A,[5]NGDPRSAXDCSAQ_PCH!$B:$B,"")</f>
        <v>1.1144400000000001</v>
      </c>
    </row>
    <row r="365" spans="1:7" x14ac:dyDescent="0.2">
      <c r="A365" s="3">
        <v>42948</v>
      </c>
      <c r="B365" s="2">
        <v>51.704347826086966</v>
      </c>
      <c r="C365">
        <v>1.33099589136492E-2</v>
      </c>
      <c r="D365">
        <f>_xlfn.XLOOKUP(A365,[1]Sheet2!$C:$C,[1]Sheet2!$B:$B,"")</f>
        <v>89.027332511469268</v>
      </c>
      <c r="E365">
        <f>_xlfn.XLOOKUP(A365,[2]Sheet2!$C:$C,[2]Sheet2!$B:$B,"")</f>
        <v>7258.64</v>
      </c>
      <c r="F365">
        <f>_xlfn.XLOOKUP(A365,'[3]Monthly-Evolution-of-the-Purch'!$C:$C,'[3]Monthly-Evolution-of-the-Purch'!$B:$B,"")</f>
        <v>55.804601529999999</v>
      </c>
      <c r="G365" t="str">
        <f>_xlfn.XLOOKUP(A365,[4]NGDPRSAXDCSAQ_PCH!$A:$A,[5]NGDPRSAXDCSAQ_PCH!$B:$B,"")</f>
        <v/>
      </c>
    </row>
    <row r="366" spans="1:7" x14ac:dyDescent="0.2">
      <c r="A366" s="3">
        <v>42979</v>
      </c>
      <c r="B366" s="2">
        <v>56.152857142857137</v>
      </c>
      <c r="C366">
        <v>1.5430797167162117E-2</v>
      </c>
      <c r="D366">
        <f>_xlfn.XLOOKUP(A366,[1]Sheet2!$C:$C,[1]Sheet2!$B:$B,"")</f>
        <v>89.177122120525013</v>
      </c>
      <c r="E366">
        <f>_xlfn.XLOOKUP(A366,[2]Sheet2!$C:$C,[2]Sheet2!$B:$B,"")</f>
        <v>7283.01</v>
      </c>
      <c r="F366">
        <f>_xlfn.XLOOKUP(A366,'[3]Monthly-Evolution-of-the-Purch'!$C:$C,'[3]Monthly-Evolution-of-the-Purch'!$B:$B,"")</f>
        <v>55.54460031</v>
      </c>
      <c r="G366" t="str">
        <f>_xlfn.XLOOKUP(A366,[4]NGDPRSAXDCSAQ_PCH!$A:$A,[5]NGDPRSAXDCSAQ_PCH!$B:$B,"")</f>
        <v/>
      </c>
    </row>
    <row r="367" spans="1:7" x14ac:dyDescent="0.2">
      <c r="A367" s="3">
        <v>43009</v>
      </c>
      <c r="B367" s="2">
        <v>57.507727272727273</v>
      </c>
      <c r="C367">
        <v>1.1602929308537194E-2</v>
      </c>
      <c r="D367">
        <f>_xlfn.XLOOKUP(A367,[1]Sheet2!$C:$C,[1]Sheet2!$B:$B,"")</f>
        <v>89.010676802947756</v>
      </c>
      <c r="E367">
        <f>_xlfn.XLOOKUP(A367,[2]Sheet2!$C:$C,[2]Sheet2!$B:$B,"")</f>
        <v>6934.37</v>
      </c>
      <c r="F367">
        <f>_xlfn.XLOOKUP(A367,'[3]Monthly-Evolution-of-the-Purch'!$C:$C,'[3]Monthly-Evolution-of-the-Purch'!$B:$B,"")</f>
        <v>55.556798139999998</v>
      </c>
      <c r="G367">
        <f>_xlfn.XLOOKUP(A367,[4]NGDPRSAXDCSAQ_PCH!$A:$A,[5]NGDPRSAXDCSAQ_PCH!$B:$B,"")</f>
        <v>1.02111</v>
      </c>
    </row>
    <row r="368" spans="1:7" x14ac:dyDescent="0.2">
      <c r="A368" s="3">
        <v>43040</v>
      </c>
      <c r="B368" s="2">
        <v>62.714090909090899</v>
      </c>
      <c r="C368">
        <v>1.4584793539009669E-2</v>
      </c>
      <c r="D368">
        <f>_xlfn.XLOOKUP(A368,[1]Sheet2!$C:$C,[1]Sheet2!$B:$B,"")</f>
        <v>88.547845281756096</v>
      </c>
      <c r="E368">
        <f>_xlfn.XLOOKUP(A368,[2]Sheet2!$C:$C,[2]Sheet2!$B:$B,"")</f>
        <v>7003.97</v>
      </c>
      <c r="F368">
        <f>_xlfn.XLOOKUP(A368,'[3]Monthly-Evolution-of-the-Purch'!$C:$C,'[3]Monthly-Evolution-of-the-Purch'!$B:$B,"")</f>
        <v>57.457159869999998</v>
      </c>
      <c r="G368" t="str">
        <f>_xlfn.XLOOKUP(A368,[4]NGDPRSAXDCSAQ_PCH!$A:$A,[5]NGDPRSAXDCSAQ_PCH!$B:$B,"")</f>
        <v/>
      </c>
    </row>
    <row r="369" spans="1:7" x14ac:dyDescent="0.2">
      <c r="A369" s="3">
        <v>43070</v>
      </c>
      <c r="B369" s="2">
        <v>64.373684210526321</v>
      </c>
      <c r="C369" t="e">
        <v>#NUM!</v>
      </c>
      <c r="D369">
        <f>_xlfn.XLOOKUP(A369,[1]Sheet2!$C:$C,[1]Sheet2!$B:$B,"")</f>
        <v>88.361615940233079</v>
      </c>
      <c r="E369">
        <f>_xlfn.XLOOKUP(A369,[2]Sheet2!$C:$C,[2]Sheet2!$B:$B,"")</f>
        <v>7226.32</v>
      </c>
      <c r="F369">
        <f>_xlfn.XLOOKUP(A369,'[3]Monthly-Evolution-of-the-Purch'!$C:$C,'[3]Monthly-Evolution-of-the-Purch'!$B:$B,"")</f>
        <v>57.283777059999998</v>
      </c>
      <c r="G369" t="str">
        <f>_xlfn.XLOOKUP(A369,[4]NGDPRSAXDCSAQ_PCH!$A:$A,[5]NGDPRSAXDCSAQ_PCH!$B:$B,"")</f>
        <v/>
      </c>
    </row>
    <row r="370" spans="1:7" x14ac:dyDescent="0.2">
      <c r="A370" s="3">
        <v>43101</v>
      </c>
      <c r="B370" s="2">
        <v>69.077272727272714</v>
      </c>
      <c r="C370" t="e">
        <v>#DIV/0!</v>
      </c>
      <c r="D370">
        <f>_xlfn.XLOOKUP(A370,[1]Sheet2!$C:$C,[1]Sheet2!$B:$B,"")</f>
        <v>91.962052846675348</v>
      </c>
      <c r="E370">
        <f>_xlfn.XLOOKUP(A370,[2]Sheet2!$C:$C,[2]Sheet2!$B:$B,"")</f>
        <v>7650.12</v>
      </c>
      <c r="F370">
        <f>_xlfn.XLOOKUP(A370,'[3]Monthly-Evolution-of-the-Purch'!$C:$C,'[3]Monthly-Evolution-of-the-Purch'!$B:$B,"")</f>
        <v>53.02869029</v>
      </c>
      <c r="G370">
        <f>_xlfn.XLOOKUP(A370,[4]NGDPRSAXDCSAQ_PCH!$A:$A,[5]NGDPRSAXDCSAQ_PCH!$B:$B,"")</f>
        <v>0.22470000000000001</v>
      </c>
    </row>
    <row r="371" spans="1:7" x14ac:dyDescent="0.2">
      <c r="A371" s="3">
        <v>43132</v>
      </c>
      <c r="B371" s="2">
        <v>65.317499999999981</v>
      </c>
      <c r="C371">
        <v>1.533358976792221E-2</v>
      </c>
      <c r="D371">
        <f>_xlfn.XLOOKUP(A371,[1]Sheet2!$C:$C,[1]Sheet2!$B:$B,"")</f>
        <v>92.00048963453041</v>
      </c>
      <c r="E371">
        <f>_xlfn.XLOOKUP(A371,[2]Sheet2!$C:$C,[2]Sheet2!$B:$B,"")</f>
        <v>7418.8</v>
      </c>
      <c r="F371">
        <f>_xlfn.XLOOKUP(A371,'[3]Monthly-Evolution-of-the-Purch'!$C:$C,'[3]Monthly-Evolution-of-the-Purch'!$B:$B,"")</f>
        <v>53.195449170000003</v>
      </c>
      <c r="G371" t="str">
        <f>_xlfn.XLOOKUP(A371,[4]NGDPRSAXDCSAQ_PCH!$A:$A,[5]NGDPRSAXDCSAQ_PCH!$B:$B,"")</f>
        <v/>
      </c>
    </row>
    <row r="372" spans="1:7" x14ac:dyDescent="0.2">
      <c r="A372" s="3">
        <v>43160</v>
      </c>
      <c r="B372" s="2">
        <v>66.016666666666666</v>
      </c>
      <c r="C372" t="e">
        <v>#NUM!</v>
      </c>
      <c r="D372">
        <f>_xlfn.XLOOKUP(A372,[1]Sheet2!$C:$C,[1]Sheet2!$B:$B,"")</f>
        <v>91.836926198487873</v>
      </c>
      <c r="E372">
        <f>_xlfn.XLOOKUP(A372,[2]Sheet2!$C:$C,[2]Sheet2!$B:$B,"")</f>
        <v>7870.87</v>
      </c>
      <c r="F372">
        <f>_xlfn.XLOOKUP(A372,'[3]Monthly-Evolution-of-the-Purch'!$C:$C,'[3]Monthly-Evolution-of-the-Purch'!$B:$B,"")</f>
        <v>52.78164348</v>
      </c>
      <c r="G372" t="str">
        <f>_xlfn.XLOOKUP(A372,[4]NGDPRSAXDCSAQ_PCH!$A:$A,[5]NGDPRSAXDCSAQ_PCH!$B:$B,"")</f>
        <v/>
      </c>
    </row>
    <row r="373" spans="1:7" x14ac:dyDescent="0.2">
      <c r="A373" s="3">
        <v>43191</v>
      </c>
      <c r="B373" s="2">
        <v>72.106000000000009</v>
      </c>
      <c r="C373" t="e">
        <v>#DIV/0!</v>
      </c>
      <c r="D373">
        <f>_xlfn.XLOOKUP(A373,[1]Sheet2!$C:$C,[1]Sheet2!$B:$B,"")</f>
        <v>91.653294466256682</v>
      </c>
      <c r="E373">
        <f>_xlfn.XLOOKUP(A373,[2]Sheet2!$C:$C,[2]Sheet2!$B:$B,"")</f>
        <v>8208.8700000000008</v>
      </c>
      <c r="F373">
        <f>_xlfn.XLOOKUP(A373,'[3]Monthly-Evolution-of-the-Purch'!$C:$C,'[3]Monthly-Evolution-of-the-Purch'!$B:$B,"")</f>
        <v>51.404168089999999</v>
      </c>
      <c r="G373">
        <f>_xlfn.XLOOKUP(A373,[4]NGDPRSAXDCSAQ_PCH!$A:$A,[5]NGDPRSAXDCSAQ_PCH!$B:$B,"")</f>
        <v>1.27233</v>
      </c>
    </row>
    <row r="374" spans="1:7" x14ac:dyDescent="0.2">
      <c r="A374" s="3">
        <v>43221</v>
      </c>
      <c r="B374" s="2">
        <v>76.975238095238112</v>
      </c>
      <c r="C374" t="e">
        <v>#NUM!</v>
      </c>
      <c r="D374">
        <f>_xlfn.XLOOKUP(A374,[1]Sheet2!$C:$C,[1]Sheet2!$B:$B,"")</f>
        <v>91.334573106927678</v>
      </c>
      <c r="E374">
        <f>_xlfn.XLOOKUP(A374,[2]Sheet2!$C:$C,[2]Sheet2!$B:$B,"")</f>
        <v>8161.08</v>
      </c>
      <c r="F374">
        <f>_xlfn.XLOOKUP(A374,'[3]Monthly-Evolution-of-the-Purch'!$C:$C,'[3]Monthly-Evolution-of-the-Purch'!$B:$B,"")</f>
        <v>53.193038790000003</v>
      </c>
      <c r="G374" t="str">
        <f>_xlfn.XLOOKUP(A374,[4]NGDPRSAXDCSAQ_PCH!$A:$A,[5]NGDPRSAXDCSAQ_PCH!$B:$B,"")</f>
        <v/>
      </c>
    </row>
    <row r="375" spans="1:7" x14ac:dyDescent="0.2">
      <c r="A375" s="3">
        <v>43252</v>
      </c>
      <c r="B375" s="2">
        <v>74.404761904761898</v>
      </c>
      <c r="C375">
        <v>1.7659965578027528E-2</v>
      </c>
      <c r="D375">
        <f>_xlfn.XLOOKUP(A375,[1]Sheet2!$C:$C,[1]Sheet2!$B:$B,"")</f>
        <v>91.393200940346389</v>
      </c>
      <c r="E375">
        <f>_xlfn.XLOOKUP(A375,[2]Sheet2!$C:$C,[2]Sheet2!$B:$B,"")</f>
        <v>8314.19</v>
      </c>
      <c r="F375">
        <f>_xlfn.XLOOKUP(A375,'[3]Monthly-Evolution-of-the-Purch'!$C:$C,'[3]Monthly-Evolution-of-the-Purch'!$B:$B,"")</f>
        <v>55.036820820000003</v>
      </c>
      <c r="G375" t="str">
        <f>_xlfn.XLOOKUP(A375,[4]NGDPRSAXDCSAQ_PCH!$A:$A,[5]NGDPRSAXDCSAQ_PCH!$B:$B,"")</f>
        <v/>
      </c>
    </row>
    <row r="376" spans="1:7" x14ac:dyDescent="0.2">
      <c r="A376" s="3">
        <v>43282</v>
      </c>
      <c r="B376" s="2">
        <v>74.25409090909092</v>
      </c>
      <c r="C376">
        <v>2.0785783504033831E-2</v>
      </c>
      <c r="D376">
        <f>_xlfn.XLOOKUP(A376,[1]Sheet2!$C:$C,[1]Sheet2!$B:$B,"")</f>
        <v>91.310582745814045</v>
      </c>
      <c r="E376">
        <f>_xlfn.XLOOKUP(A376,[2]Sheet2!$C:$C,[2]Sheet2!$B:$B,"")</f>
        <v>8294.83</v>
      </c>
      <c r="F376">
        <f>_xlfn.XLOOKUP(A376,'[3]Monthly-Evolution-of-the-Purch'!$C:$C,'[3]Monthly-Evolution-of-the-Purch'!$B:$B,"")</f>
        <v>54.873961370000004</v>
      </c>
      <c r="G376">
        <f>_xlfn.XLOOKUP(A376,[4]NGDPRSAXDCSAQ_PCH!$A:$A,[5]NGDPRSAXDCSAQ_PCH!$B:$B,"")</f>
        <v>0.41127000000000002</v>
      </c>
    </row>
    <row r="377" spans="1:7" x14ac:dyDescent="0.2">
      <c r="A377" s="3">
        <v>43313</v>
      </c>
      <c r="B377" s="2">
        <v>72.52826086956523</v>
      </c>
      <c r="C377">
        <v>1.2514784087363437E-2</v>
      </c>
      <c r="D377">
        <f>_xlfn.XLOOKUP(A377,[1]Sheet2!$C:$C,[1]Sheet2!$B:$B,"")</f>
        <v>91.1743410057841</v>
      </c>
      <c r="E377">
        <f>_xlfn.XLOOKUP(A377,[2]Sheet2!$C:$C,[2]Sheet2!$B:$B,"")</f>
        <v>7948.25</v>
      </c>
      <c r="F377">
        <f>_xlfn.XLOOKUP(A377,'[3]Monthly-Evolution-of-the-Purch'!$C:$C,'[3]Monthly-Evolution-of-the-Purch'!$B:$B,"")</f>
        <v>55.116114750000001</v>
      </c>
      <c r="G377" t="str">
        <f>_xlfn.XLOOKUP(A377,[4]NGDPRSAXDCSAQ_PCH!$A:$A,[5]NGDPRSAXDCSAQ_PCH!$B:$B,"")</f>
        <v/>
      </c>
    </row>
    <row r="378" spans="1:7" x14ac:dyDescent="0.2">
      <c r="A378" s="3">
        <v>43344</v>
      </c>
      <c r="B378" s="2">
        <v>78.89100000000002</v>
      </c>
      <c r="C378">
        <v>1.4511347504547922E-2</v>
      </c>
      <c r="D378">
        <f>_xlfn.XLOOKUP(A378,[1]Sheet2!$C:$C,[1]Sheet2!$B:$B,"")</f>
        <v>91.072252952899859</v>
      </c>
      <c r="E378">
        <f>_xlfn.XLOOKUP(A378,[2]Sheet2!$C:$C,[2]Sheet2!$B:$B,"")</f>
        <v>7999.54</v>
      </c>
      <c r="F378">
        <f>_xlfn.XLOOKUP(A378,'[3]Monthly-Evolution-of-the-Purch'!$C:$C,'[3]Monthly-Evolution-of-the-Purch'!$B:$B,"")</f>
        <v>53.388264390000003</v>
      </c>
      <c r="G378" t="str">
        <f>_xlfn.XLOOKUP(A378,[4]NGDPRSAXDCSAQ_PCH!$A:$A,[5]NGDPRSAXDCSAQ_PCH!$B:$B,"")</f>
        <v/>
      </c>
    </row>
    <row r="379" spans="1:7" x14ac:dyDescent="0.2">
      <c r="A379" s="3">
        <v>43374</v>
      </c>
      <c r="B379" s="2">
        <v>81.032173913043479</v>
      </c>
      <c r="C379">
        <v>1.414423113137373E-2</v>
      </c>
      <c r="D379">
        <f>_xlfn.XLOOKUP(A379,[1]Sheet2!$C:$C,[1]Sheet2!$B:$B,"")</f>
        <v>90.813501052217262</v>
      </c>
      <c r="E379">
        <f>_xlfn.XLOOKUP(A379,[2]Sheet2!$C:$C,[2]Sheet2!$B:$B,"")</f>
        <v>7907.01</v>
      </c>
      <c r="F379">
        <f>_xlfn.XLOOKUP(A379,'[3]Monthly-Evolution-of-the-Purch'!$C:$C,'[3]Monthly-Evolution-of-the-Purch'!$B:$B,"")</f>
        <v>53.827713760000002</v>
      </c>
      <c r="G379">
        <f>_xlfn.XLOOKUP(A379,[4]NGDPRSAXDCSAQ_PCH!$A:$A,[5]NGDPRSAXDCSAQ_PCH!$B:$B,"")</f>
        <v>1.4046400000000001</v>
      </c>
    </row>
    <row r="380" spans="1:7" x14ac:dyDescent="0.2">
      <c r="A380" s="3">
        <v>43405</v>
      </c>
      <c r="B380" s="2">
        <v>64.74818181818182</v>
      </c>
      <c r="C380">
        <v>2.5823033924560958E-2</v>
      </c>
      <c r="D380">
        <f>_xlfn.XLOOKUP(A380,[1]Sheet2!$C:$C,[1]Sheet2!$B:$B,"")</f>
        <v>90.606289390682193</v>
      </c>
      <c r="E380">
        <f>_xlfn.XLOOKUP(A380,[2]Sheet2!$C:$C,[2]Sheet2!$B:$B,"")</f>
        <v>7702.99</v>
      </c>
      <c r="F380">
        <f>_xlfn.XLOOKUP(A380,'[3]Monthly-Evolution-of-the-Purch'!$C:$C,'[3]Monthly-Evolution-of-the-Purch'!$B:$B,"")</f>
        <v>55.155612609999999</v>
      </c>
      <c r="G380" t="str">
        <f>_xlfn.XLOOKUP(A380,[4]NGDPRSAXDCSAQ_PCH!$A:$A,[5]NGDPRSAXDCSAQ_PCH!$B:$B,"")</f>
        <v/>
      </c>
    </row>
    <row r="381" spans="1:7" x14ac:dyDescent="0.2">
      <c r="A381" s="3">
        <v>43435</v>
      </c>
      <c r="B381" s="2">
        <v>57.362352941176482</v>
      </c>
      <c r="C381" t="e">
        <v>#NUM!</v>
      </c>
      <c r="D381">
        <f>_xlfn.XLOOKUP(A381,[1]Sheet2!$C:$C,[1]Sheet2!$B:$B,"")</f>
        <v>90.283967831414628</v>
      </c>
      <c r="E381">
        <f>_xlfn.XLOOKUP(A381,[2]Sheet2!$C:$C,[2]Sheet2!$B:$B,"")</f>
        <v>7826.73</v>
      </c>
      <c r="F381">
        <f>_xlfn.XLOOKUP(A381,'[3]Monthly-Evolution-of-the-Purch'!$C:$C,'[3]Monthly-Evolution-of-the-Purch'!$B:$B,"")</f>
        <v>54.504496619999998</v>
      </c>
      <c r="G381" t="str">
        <f>_xlfn.XLOOKUP(A381,[4]NGDPRSAXDCSAQ_PCH!$A:$A,[5]NGDPRSAXDCSAQ_PCH!$B:$B,"")</f>
        <v/>
      </c>
    </row>
    <row r="382" spans="1:7" x14ac:dyDescent="0.2">
      <c r="A382" s="3">
        <v>43466</v>
      </c>
      <c r="B382" s="2">
        <v>59.409545454545452</v>
      </c>
      <c r="C382" t="e">
        <v>#DIV/0!</v>
      </c>
      <c r="D382">
        <f>_xlfn.XLOOKUP(A382,[1]Sheet2!$C:$C,[1]Sheet2!$B:$B,"")</f>
        <v>89.413378360998308</v>
      </c>
      <c r="E382">
        <f>_xlfn.XLOOKUP(A382,[2]Sheet2!$C:$C,[2]Sheet2!$B:$B,"")</f>
        <v>8559.9500000000007</v>
      </c>
      <c r="F382">
        <f>_xlfn.XLOOKUP(A382,'[3]Monthly-Evolution-of-the-Purch'!$C:$C,'[3]Monthly-Evolution-of-the-Purch'!$B:$B,"")</f>
        <v>56.248697640000003</v>
      </c>
      <c r="G382">
        <f>_xlfn.XLOOKUP(A382,[4]NGDPRSAXDCSAQ_PCH!$A:$A,[5]NGDPRSAXDCSAQ_PCH!$B:$B,"")</f>
        <v>0.16122</v>
      </c>
    </row>
    <row r="383" spans="1:7" x14ac:dyDescent="0.2">
      <c r="A383" s="3">
        <v>43497</v>
      </c>
      <c r="B383" s="2">
        <v>63.960499999999989</v>
      </c>
      <c r="C383">
        <v>1.6345462959292737E-2</v>
      </c>
      <c r="D383">
        <f>_xlfn.XLOOKUP(A383,[1]Sheet2!$C:$C,[1]Sheet2!$B:$B,"")</f>
        <v>89.204247516182903</v>
      </c>
      <c r="E383">
        <f>_xlfn.XLOOKUP(A383,[2]Sheet2!$C:$C,[2]Sheet2!$B:$B,"")</f>
        <v>8492.7000000000007</v>
      </c>
      <c r="F383">
        <f>_xlfn.XLOOKUP(A383,'[3]Monthly-Evolution-of-the-Purch'!$C:$C,'[3]Monthly-Evolution-of-the-Purch'!$B:$B,"")</f>
        <v>56.59651118</v>
      </c>
      <c r="G383" t="str">
        <f>_xlfn.XLOOKUP(A383,[4]NGDPRSAXDCSAQ_PCH!$A:$A,[5]NGDPRSAXDCSAQ_PCH!$B:$B,"")</f>
        <v/>
      </c>
    </row>
    <row r="384" spans="1:7" x14ac:dyDescent="0.2">
      <c r="A384" s="3">
        <v>43525</v>
      </c>
      <c r="B384" s="2">
        <v>66.138571428571424</v>
      </c>
      <c r="C384">
        <v>1.2730358275529553E-2</v>
      </c>
      <c r="D384">
        <f>_xlfn.XLOOKUP(A384,[1]Sheet2!$C:$C,[1]Sheet2!$B:$B,"")</f>
        <v>89.115337138840943</v>
      </c>
      <c r="E384">
        <f>_xlfn.XLOOKUP(A384,[2]Sheet2!$C:$C,[2]Sheet2!$B:$B,"")</f>
        <v>8819.44</v>
      </c>
      <c r="F384">
        <f>_xlfn.XLOOKUP(A384,'[3]Monthly-Evolution-of-the-Purch'!$C:$C,'[3]Monthly-Evolution-of-the-Purch'!$B:$B,"")</f>
        <v>56.774608299999997</v>
      </c>
      <c r="G384" t="str">
        <f>_xlfn.XLOOKUP(A384,[4]NGDPRSAXDCSAQ_PCH!$A:$A,[5]NGDPRSAXDCSAQ_PCH!$B:$B,"")</f>
        <v/>
      </c>
    </row>
    <row r="385" spans="1:7" x14ac:dyDescent="0.2">
      <c r="A385" s="3">
        <v>43556</v>
      </c>
      <c r="B385" s="2">
        <v>71.233333333333334</v>
      </c>
      <c r="C385" t="e">
        <v>#NUM!</v>
      </c>
      <c r="D385">
        <f>_xlfn.XLOOKUP(A385,[1]Sheet2!$C:$C,[1]Sheet2!$B:$B,"")</f>
        <v>89.10486271215737</v>
      </c>
      <c r="E385">
        <f>_xlfn.XLOOKUP(A385,[2]Sheet2!$C:$C,[2]Sheet2!$B:$B,"")</f>
        <v>9304.2000000000007</v>
      </c>
      <c r="F385">
        <f>_xlfn.XLOOKUP(A385,'[3]Monthly-Evolution-of-the-Purch'!$C:$C,'[3]Monthly-Evolution-of-the-Purch'!$B:$B,"")</f>
        <v>56.839935529999998</v>
      </c>
      <c r="G385">
        <f>_xlfn.XLOOKUP(A385,[4]NGDPRSAXDCSAQ_PCH!$A:$A,[5]NGDPRSAXDCSAQ_PCH!$B:$B,"")</f>
        <v>-0.11827</v>
      </c>
    </row>
    <row r="386" spans="1:7" x14ac:dyDescent="0.2">
      <c r="A386" s="3">
        <v>43586</v>
      </c>
      <c r="B386" s="2">
        <v>71.317727272727296</v>
      </c>
      <c r="C386" t="e">
        <v>#NUM!</v>
      </c>
      <c r="D386">
        <f>_xlfn.XLOOKUP(A386,[1]Sheet2!$C:$C,[1]Sheet2!$B:$B,"")</f>
        <v>89.164263061890935</v>
      </c>
      <c r="E386">
        <f>_xlfn.XLOOKUP(A386,[2]Sheet2!$C:$C,[2]Sheet2!$B:$B,"")</f>
        <v>8516.48</v>
      </c>
      <c r="F386">
        <f>_xlfn.XLOOKUP(A386,'[3]Monthly-Evolution-of-the-Purch'!$C:$C,'[3]Monthly-Evolution-of-the-Purch'!$B:$B,"")</f>
        <v>57.293618629999997</v>
      </c>
      <c r="G386" t="str">
        <f>_xlfn.XLOOKUP(A386,[4]NGDPRSAXDCSAQ_PCH!$A:$A,[5]NGDPRSAXDCSAQ_PCH!$B:$B,"")</f>
        <v/>
      </c>
    </row>
    <row r="387" spans="1:7" x14ac:dyDescent="0.2">
      <c r="A387" s="3">
        <v>43617</v>
      </c>
      <c r="B387" s="2">
        <v>64.220499999999987</v>
      </c>
      <c r="C387">
        <v>1.8870888872173995E-2</v>
      </c>
      <c r="D387">
        <f>_xlfn.XLOOKUP(A387,[1]Sheet2!$C:$C,[1]Sheet2!$B:$B,"")</f>
        <v>89.303908566309488</v>
      </c>
      <c r="E387">
        <f>_xlfn.XLOOKUP(A387,[2]Sheet2!$C:$C,[2]Sheet2!$B:$B,"")</f>
        <v>8821.76</v>
      </c>
      <c r="F387">
        <f>_xlfn.XLOOKUP(A387,'[3]Monthly-Evolution-of-the-Purch'!$C:$C,'[3]Monthly-Evolution-of-the-Purch'!$B:$B,"")</f>
        <v>57.365312099999997</v>
      </c>
      <c r="G387" t="str">
        <f>_xlfn.XLOOKUP(A387,[4]NGDPRSAXDCSAQ_PCH!$A:$A,[5]NGDPRSAXDCSAQ_PCH!$B:$B,"")</f>
        <v/>
      </c>
    </row>
    <row r="388" spans="1:7" x14ac:dyDescent="0.2">
      <c r="A388" s="3">
        <v>43647</v>
      </c>
      <c r="B388" s="2">
        <v>63.919130434782595</v>
      </c>
      <c r="C388">
        <v>2.0407787904420736E-2</v>
      </c>
      <c r="D388">
        <f>_xlfn.XLOOKUP(A388,[1]Sheet2!$C:$C,[1]Sheet2!$B:$B,"")</f>
        <v>89.462180038277594</v>
      </c>
      <c r="E388">
        <f>_xlfn.XLOOKUP(A388,[2]Sheet2!$C:$C,[2]Sheet2!$B:$B,"")</f>
        <v>8732.6200000000008</v>
      </c>
      <c r="F388">
        <f>_xlfn.XLOOKUP(A388,'[3]Monthly-Evolution-of-the-Purch'!$C:$C,'[3]Monthly-Evolution-of-the-Purch'!$B:$B,"")</f>
        <v>56.586583249999997</v>
      </c>
      <c r="G388">
        <f>_xlfn.XLOOKUP(A388,[4]NGDPRSAXDCSAQ_PCH!$A:$A,[5]NGDPRSAXDCSAQ_PCH!$B:$B,"")</f>
        <v>-0.55791999999999997</v>
      </c>
    </row>
    <row r="389" spans="1:7" x14ac:dyDescent="0.2">
      <c r="A389" s="3">
        <v>43678</v>
      </c>
      <c r="B389" s="2">
        <v>59.041818181818186</v>
      </c>
      <c r="C389">
        <v>2.7026111749189348E-2</v>
      </c>
      <c r="D389">
        <f>_xlfn.XLOOKUP(A389,[1]Sheet2!$C:$C,[1]Sheet2!$B:$B,"")</f>
        <v>89.553902261578543</v>
      </c>
      <c r="E389">
        <f>_xlfn.XLOOKUP(A389,[2]Sheet2!$C:$C,[2]Sheet2!$B:$B,"")</f>
        <v>8019.77</v>
      </c>
      <c r="F389">
        <f>_xlfn.XLOOKUP(A389,'[3]Monthly-Evolution-of-the-Purch'!$C:$C,'[3]Monthly-Evolution-of-the-Purch'!$B:$B,"")</f>
        <v>56.9878608</v>
      </c>
      <c r="G389" t="str">
        <f>_xlfn.XLOOKUP(A389,[4]NGDPRSAXDCSAQ_PCH!$A:$A,[5]NGDPRSAXDCSAQ_PCH!$B:$B,"")</f>
        <v/>
      </c>
    </row>
    <row r="390" spans="1:7" x14ac:dyDescent="0.2">
      <c r="A390" s="3">
        <v>43709</v>
      </c>
      <c r="B390" s="2">
        <v>62.826666666666675</v>
      </c>
      <c r="C390">
        <v>3.487302900298226E-2</v>
      </c>
      <c r="D390">
        <f>_xlfn.XLOOKUP(A390,[1]Sheet2!$C:$C,[1]Sheet2!$B:$B,"")</f>
        <v>89.751054704792367</v>
      </c>
      <c r="E390">
        <f>_xlfn.XLOOKUP(A390,[2]Sheet2!$C:$C,[2]Sheet2!$B:$B,"")</f>
        <v>8091.76</v>
      </c>
      <c r="F390">
        <f>_xlfn.XLOOKUP(A390,'[3]Monthly-Evolution-of-the-Purch'!$C:$C,'[3]Monthly-Evolution-of-the-Purch'!$B:$B,"")</f>
        <v>57.301504850000001</v>
      </c>
      <c r="G390" t="str">
        <f>_xlfn.XLOOKUP(A390,[4]NGDPRSAXDCSAQ_PCH!$A:$A,[5]NGDPRSAXDCSAQ_PCH!$B:$B,"")</f>
        <v/>
      </c>
    </row>
    <row r="391" spans="1:7" x14ac:dyDescent="0.2">
      <c r="A391" s="3">
        <v>43739</v>
      </c>
      <c r="B391" s="2">
        <v>59.713043478260865</v>
      </c>
      <c r="C391">
        <v>1.8559230045594378E-2</v>
      </c>
      <c r="D391">
        <f>_xlfn.XLOOKUP(A391,[1]Sheet2!$C:$C,[1]Sheet2!$B:$B,"")</f>
        <v>89.665228531290353</v>
      </c>
      <c r="E391">
        <f>_xlfn.XLOOKUP(A391,[2]Sheet2!$C:$C,[2]Sheet2!$B:$B,"")</f>
        <v>7744.08</v>
      </c>
      <c r="F391">
        <f>_xlfn.XLOOKUP(A391,'[3]Monthly-Evolution-of-the-Purch'!$C:$C,'[3]Monthly-Evolution-of-the-Purch'!$B:$B,"")</f>
        <v>57.818832139999998</v>
      </c>
      <c r="G391">
        <f>_xlfn.XLOOKUP(A391,[4]NGDPRSAXDCSAQ_PCH!$A:$A,[5]NGDPRSAXDCSAQ_PCH!$B:$B,"")</f>
        <v>1.13937</v>
      </c>
    </row>
    <row r="392" spans="1:7" x14ac:dyDescent="0.2">
      <c r="A392" s="3">
        <v>43770</v>
      </c>
      <c r="B392" s="2">
        <v>63.211904761904762</v>
      </c>
      <c r="C392">
        <v>1.3012021217706813E-2</v>
      </c>
      <c r="D392">
        <f>_xlfn.XLOOKUP(A392,[1]Sheet2!$C:$C,[1]Sheet2!$B:$B,"")</f>
        <v>89.492477235101177</v>
      </c>
      <c r="E392">
        <f>_xlfn.XLOOKUP(A392,[2]Sheet2!$C:$C,[2]Sheet2!$B:$B,"")</f>
        <v>7859.06</v>
      </c>
      <c r="F392">
        <f>_xlfn.XLOOKUP(A392,'[3]Monthly-Evolution-of-the-Purch'!$C:$C,'[3]Monthly-Evolution-of-the-Purch'!$B:$B,"")</f>
        <v>58.260938699999997</v>
      </c>
      <c r="G392" t="str">
        <f>_xlfn.XLOOKUP(A392,[4]NGDPRSAXDCSAQ_PCH!$A:$A,[5]NGDPRSAXDCSAQ_PCH!$B:$B,"")</f>
        <v/>
      </c>
    </row>
    <row r="393" spans="1:7" x14ac:dyDescent="0.2">
      <c r="A393" s="3">
        <v>43800</v>
      </c>
      <c r="B393" s="2">
        <v>67.217142857142861</v>
      </c>
      <c r="C393" t="e">
        <v>#NUM!</v>
      </c>
      <c r="D393">
        <f>_xlfn.XLOOKUP(A393,[1]Sheet2!$C:$C,[1]Sheet2!$B:$B,"")</f>
        <v>89.899934846209305</v>
      </c>
      <c r="E393">
        <f>_xlfn.XLOOKUP(A393,[2]Sheet2!$C:$C,[2]Sheet2!$B:$B,"")</f>
        <v>8389.23</v>
      </c>
      <c r="F393">
        <f>_xlfn.XLOOKUP(A393,'[3]Monthly-Evolution-of-the-Purch'!$C:$C,'[3]Monthly-Evolution-of-the-Purch'!$B:$B,"")</f>
        <v>56.911722359999999</v>
      </c>
      <c r="G393" t="str">
        <f>_xlfn.XLOOKUP(A393,[4]NGDPRSAXDCSAQ_PCH!$A:$A,[5]NGDPRSAXDCSAQ_PCH!$B:$B,"")</f>
        <v/>
      </c>
    </row>
    <row r="394" spans="1:7" x14ac:dyDescent="0.2">
      <c r="A394" s="3">
        <v>43831</v>
      </c>
      <c r="B394" s="2">
        <v>63.645454545454534</v>
      </c>
      <c r="C394" t="e">
        <v>#DIV/0!</v>
      </c>
      <c r="D394">
        <f>_xlfn.XLOOKUP(A394,[1]Sheet2!$C:$C,[1]Sheet2!$B:$B,"")</f>
        <v>89.796738045432576</v>
      </c>
      <c r="E394">
        <f>_xlfn.XLOOKUP(A394,[2]Sheet2!$C:$C,[2]Sheet2!$B:$B,"")</f>
        <v>8246.59</v>
      </c>
      <c r="F394">
        <f>_xlfn.XLOOKUP(A394,'[3]Monthly-Evolution-of-the-Purch'!$C:$C,'[3]Monthly-Evolution-of-the-Purch'!$B:$B,"")</f>
        <v>54.89706056</v>
      </c>
      <c r="G394">
        <f>_xlfn.XLOOKUP(A394,[4]NGDPRSAXDCSAQ_PCH!$A:$A,[5]NGDPRSAXDCSAQ_PCH!$B:$B,"")</f>
        <v>-2.24011</v>
      </c>
    </row>
    <row r="395" spans="1:7" x14ac:dyDescent="0.2">
      <c r="A395" s="3">
        <v>43862</v>
      </c>
      <c r="B395" s="2">
        <v>55.657000000000004</v>
      </c>
      <c r="C395">
        <v>2.2985679264179701E-2</v>
      </c>
      <c r="D395">
        <f>_xlfn.XLOOKUP(A395,[1]Sheet2!$C:$C,[1]Sheet2!$B:$B,"")</f>
        <v>89.975933928671893</v>
      </c>
      <c r="E395">
        <f>_xlfn.XLOOKUP(A395,[2]Sheet2!$C:$C,[2]Sheet2!$B:$B,"")</f>
        <v>7628.34</v>
      </c>
      <c r="F395">
        <f>_xlfn.XLOOKUP(A395,'[3]Monthly-Evolution-of-the-Purch'!$C:$C,'[3]Monthly-Evolution-of-the-Purch'!$B:$B,"")</f>
        <v>52.498455790000001</v>
      </c>
      <c r="G395" t="str">
        <f>_xlfn.XLOOKUP(A395,[4]NGDPRSAXDCSAQ_PCH!$A:$A,[5]NGDPRSAXDCSAQ_PCH!$B:$B,"")</f>
        <v/>
      </c>
    </row>
    <row r="396" spans="1:7" x14ac:dyDescent="0.2">
      <c r="A396" s="3">
        <v>43891</v>
      </c>
      <c r="B396" s="2">
        <v>32.011363636363633</v>
      </c>
      <c r="C396">
        <v>9.6950099247088195E-2</v>
      </c>
      <c r="D396">
        <f>_xlfn.XLOOKUP(A396,[1]Sheet2!$C:$C,[1]Sheet2!$B:$B,"")</f>
        <v>90.097678519024285</v>
      </c>
      <c r="E396">
        <f>_xlfn.XLOOKUP(A396,[2]Sheet2!$C:$C,[2]Sheet2!$B:$B,"")</f>
        <v>6505.35</v>
      </c>
      <c r="F396">
        <f>_xlfn.XLOOKUP(A396,'[3]Monthly-Evolution-of-the-Purch'!$C:$C,'[3]Monthly-Evolution-of-the-Purch'!$B:$B,"")</f>
        <v>42.424531160000001</v>
      </c>
      <c r="G396" t="str">
        <f>_xlfn.XLOOKUP(A396,[4]NGDPRSAXDCSAQ_PCH!$A:$A,[5]NGDPRSAXDCSAQ_PCH!$B:$B,"")</f>
        <v/>
      </c>
    </row>
    <row r="397" spans="1:7" x14ac:dyDescent="0.2">
      <c r="A397" s="3">
        <v>43922</v>
      </c>
      <c r="B397" s="2">
        <v>18.378500000000003</v>
      </c>
      <c r="C397" t="e">
        <v>#NUM!</v>
      </c>
      <c r="D397">
        <f>_xlfn.XLOOKUP(A397,[1]Sheet2!$C:$C,[1]Sheet2!$B:$B,"")</f>
        <v>89.922977168917015</v>
      </c>
      <c r="E397">
        <f>_xlfn.XLOOKUP(A397,[2]Sheet2!$C:$C,[2]Sheet2!$B:$B,"")</f>
        <v>7112.9</v>
      </c>
      <c r="F397">
        <f>_xlfn.XLOOKUP(A397,'[3]Monthly-Evolution-of-the-Purch'!$C:$C,'[3]Monthly-Evolution-of-the-Purch'!$B:$B,"")</f>
        <v>44.402536529999999</v>
      </c>
      <c r="G397">
        <f>_xlfn.XLOOKUP(A397,[4]NGDPRSAXDCSAQ_PCH!$A:$A,[5]NGDPRSAXDCSAQ_PCH!$B:$B,"")</f>
        <v>-5.0702600000000002</v>
      </c>
    </row>
    <row r="398" spans="1:7" x14ac:dyDescent="0.2">
      <c r="A398" s="3">
        <v>43952</v>
      </c>
      <c r="B398" s="2">
        <v>29.378947368421056</v>
      </c>
      <c r="C398" t="e">
        <v>#NUM!</v>
      </c>
      <c r="D398">
        <f>_xlfn.XLOOKUP(A398,[1]Sheet2!$C:$C,[1]Sheet2!$B:$B,"")</f>
        <v>89.64304665546392</v>
      </c>
      <c r="E398">
        <f>_xlfn.XLOOKUP(A398,[2]Sheet2!$C:$C,[2]Sheet2!$B:$B,"")</f>
        <v>7213.03</v>
      </c>
      <c r="F398">
        <f>_xlfn.XLOOKUP(A398,'[3]Monthly-Evolution-of-the-Purch'!$C:$C,'[3]Monthly-Evolution-of-the-Purch'!$B:$B,"")</f>
        <v>48.11851514</v>
      </c>
      <c r="G398" t="str">
        <f>_xlfn.XLOOKUP(A398,[4]NGDPRSAXDCSAQ_PCH!$A:$A,[5]NGDPRSAXDCSAQ_PCH!$B:$B,"")</f>
        <v/>
      </c>
    </row>
    <row r="399" spans="1:7" x14ac:dyDescent="0.2">
      <c r="A399" s="3">
        <v>43983</v>
      </c>
      <c r="B399" s="2">
        <v>40.266818181818188</v>
      </c>
      <c r="C399">
        <v>3.1810268677566984E-2</v>
      </c>
      <c r="D399">
        <f>_xlfn.XLOOKUP(A399,[1]Sheet2!$C:$C,[1]Sheet2!$B:$B,"")</f>
        <v>89.292997456677313</v>
      </c>
      <c r="E399">
        <f>_xlfn.XLOOKUP(A399,[2]Sheet2!$C:$C,[2]Sheet2!$B:$B,"")</f>
        <v>7224.09</v>
      </c>
      <c r="F399">
        <f>_xlfn.XLOOKUP(A399,'[3]Monthly-Evolution-of-the-Purch'!$C:$C,'[3]Monthly-Evolution-of-the-Purch'!$B:$B,"")</f>
        <v>47.66988817</v>
      </c>
      <c r="G399" t="str">
        <f>_xlfn.XLOOKUP(A399,[4]NGDPRSAXDCSAQ_PCH!$A:$A,[5]NGDPRSAXDCSAQ_PCH!$B:$B,"")</f>
        <v/>
      </c>
    </row>
    <row r="400" spans="1:7" x14ac:dyDescent="0.2">
      <c r="A400" s="3">
        <v>44013</v>
      </c>
      <c r="B400" s="2">
        <v>43.24217391304348</v>
      </c>
      <c r="C400">
        <v>1.4474782035711469E-2</v>
      </c>
      <c r="D400">
        <f>_xlfn.XLOOKUP(A400,[1]Sheet2!$C:$C,[1]Sheet2!$B:$B,"")</f>
        <v>94.891565715539429</v>
      </c>
      <c r="E400">
        <f>_xlfn.XLOOKUP(A400,[2]Sheet2!$C:$C,[2]Sheet2!$B:$B,"")</f>
        <v>7459.21</v>
      </c>
      <c r="F400">
        <f>_xlfn.XLOOKUP(A400,'[3]Monthly-Evolution-of-the-Purch'!$C:$C,'[3]Monthly-Evolution-of-the-Purch'!$B:$B,"")</f>
        <v>50.03593506</v>
      </c>
      <c r="G400">
        <f>_xlfn.XLOOKUP(A400,[4]NGDPRSAXDCSAQ_PCH!$A:$A,[5]NGDPRSAXDCSAQ_PCH!$B:$B,"")</f>
        <v>2.5333299999999999</v>
      </c>
    </row>
    <row r="401" spans="1:7" x14ac:dyDescent="0.2">
      <c r="A401" s="3">
        <v>44044</v>
      </c>
      <c r="B401" s="2">
        <v>44.736000000000004</v>
      </c>
      <c r="C401" t="e">
        <v>#NUM!</v>
      </c>
      <c r="D401">
        <f>_xlfn.XLOOKUP(A401,[1]Sheet2!$C:$C,[1]Sheet2!$B:$B,"")</f>
        <v>95.007683005399045</v>
      </c>
      <c r="E401">
        <f>_xlfn.XLOOKUP(A401,[2]Sheet2!$C:$C,[2]Sheet2!$B:$B,"")</f>
        <v>7940.7</v>
      </c>
      <c r="F401">
        <f>_xlfn.XLOOKUP(A401,'[3]Monthly-Evolution-of-the-Purch'!$C:$C,'[3]Monthly-Evolution-of-the-Purch'!$B:$B,"")</f>
        <v>48.761824820000001</v>
      </c>
      <c r="G401" t="str">
        <f>_xlfn.XLOOKUP(A401,[4]NGDPRSAXDCSAQ_PCH!$A:$A,[5]NGDPRSAXDCSAQ_PCH!$B:$B,"")</f>
        <v/>
      </c>
    </row>
    <row r="402" spans="1:7" x14ac:dyDescent="0.2">
      <c r="A402" s="3">
        <v>44075</v>
      </c>
      <c r="B402" s="2">
        <v>40.909545454545452</v>
      </c>
      <c r="C402">
        <v>2.8300540045614383E-2</v>
      </c>
      <c r="D402">
        <f>_xlfn.XLOOKUP(A402,[1]Sheet2!$C:$C,[1]Sheet2!$B:$B,"")</f>
        <v>94.688526505421862</v>
      </c>
      <c r="E402">
        <f>_xlfn.XLOOKUP(A402,[2]Sheet2!$C:$C,[2]Sheet2!$B:$B,"")</f>
        <v>8299.08</v>
      </c>
      <c r="F402">
        <f>_xlfn.XLOOKUP(A402,'[3]Monthly-Evolution-of-the-Purch'!$C:$C,'[3]Monthly-Evolution-of-the-Purch'!$B:$B,"")</f>
        <v>50.723763519999999</v>
      </c>
      <c r="G402" t="str">
        <f>_xlfn.XLOOKUP(A402,[4]NGDPRSAXDCSAQ_PCH!$A:$A,[5]NGDPRSAXDCSAQ_PCH!$B:$B,"")</f>
        <v/>
      </c>
    </row>
    <row r="403" spans="1:7" x14ac:dyDescent="0.2">
      <c r="A403" s="3">
        <v>44105</v>
      </c>
      <c r="B403" s="2">
        <v>40.18954545454546</v>
      </c>
      <c r="C403">
        <v>2.9095498458262311E-2</v>
      </c>
      <c r="D403">
        <f>_xlfn.XLOOKUP(A403,[1]Sheet2!$C:$C,[1]Sheet2!$B:$B,"")</f>
        <v>94.875234597165004</v>
      </c>
      <c r="E403">
        <f>_xlfn.XLOOKUP(A403,[2]Sheet2!$C:$C,[2]Sheet2!$B:$B,"")</f>
        <v>7907.72</v>
      </c>
      <c r="F403">
        <f>_xlfn.XLOOKUP(A403,'[3]Monthly-Evolution-of-the-Purch'!$C:$C,'[3]Monthly-Evolution-of-the-Purch'!$B:$B,"")</f>
        <v>51.010351980000003</v>
      </c>
      <c r="G403">
        <f>_xlfn.XLOOKUP(A403,[4]NGDPRSAXDCSAQ_PCH!$A:$A,[5]NGDPRSAXDCSAQ_PCH!$B:$B,"")</f>
        <v>1.93252</v>
      </c>
    </row>
    <row r="404" spans="1:7" x14ac:dyDescent="0.2">
      <c r="A404" s="3">
        <v>44136</v>
      </c>
      <c r="B404" s="2">
        <v>42.692380952380951</v>
      </c>
      <c r="C404">
        <v>2.3654000357085394E-2</v>
      </c>
      <c r="D404">
        <f>_xlfn.XLOOKUP(A404,[1]Sheet2!$C:$C,[1]Sheet2!$B:$B,"")</f>
        <v>94.634374967927315</v>
      </c>
      <c r="E404">
        <f>_xlfn.XLOOKUP(A404,[2]Sheet2!$C:$C,[2]Sheet2!$B:$B,"")</f>
        <v>8747.09</v>
      </c>
      <c r="F404">
        <f>_xlfn.XLOOKUP(A404,'[3]Monthly-Evolution-of-the-Purch'!$C:$C,'[3]Monthly-Evolution-of-the-Purch'!$B:$B,"")</f>
        <v>54.656138480000003</v>
      </c>
      <c r="G404" t="str">
        <f>_xlfn.XLOOKUP(A404,[4]NGDPRSAXDCSAQ_PCH!$A:$A,[5]NGDPRSAXDCSAQ_PCH!$B:$B,"")</f>
        <v/>
      </c>
    </row>
    <row r="405" spans="1:7" x14ac:dyDescent="0.2">
      <c r="A405" s="3">
        <v>44166</v>
      </c>
      <c r="B405" s="2">
        <v>49.993636363636362</v>
      </c>
      <c r="C405" t="e">
        <v>#NUM!</v>
      </c>
      <c r="D405">
        <f>_xlfn.XLOOKUP(A405,[1]Sheet2!$C:$C,[1]Sheet2!$B:$B,"")</f>
        <v>94.502225671958001</v>
      </c>
      <c r="E405">
        <f>_xlfn.XLOOKUP(A405,[2]Sheet2!$C:$C,[2]Sheet2!$B:$B,"")</f>
        <v>8689.5300000000007</v>
      </c>
      <c r="F405">
        <f>_xlfn.XLOOKUP(A405,'[3]Monthly-Evolution-of-the-Purch'!$C:$C,'[3]Monthly-Evolution-of-the-Purch'!$B:$B,"")</f>
        <v>56.95894672</v>
      </c>
      <c r="G405" t="str">
        <f>_xlfn.XLOOKUP(A405,[4]NGDPRSAXDCSAQ_PCH!$A:$A,[5]NGDPRSAXDCSAQ_PCH!$B:$B,"")</f>
        <v/>
      </c>
    </row>
    <row r="406" spans="1:7" x14ac:dyDescent="0.2">
      <c r="A406" s="3">
        <v>44197</v>
      </c>
      <c r="B406" s="2">
        <v>54.774000000000001</v>
      </c>
      <c r="C406" t="e">
        <v>#DIV/0!</v>
      </c>
      <c r="D406">
        <f>_xlfn.XLOOKUP(A406,[1]Sheet2!$C:$C,[1]Sheet2!$B:$B,"")</f>
        <v>94.614855037696444</v>
      </c>
      <c r="E406">
        <f>_xlfn.XLOOKUP(A406,[2]Sheet2!$C:$C,[2]Sheet2!$B:$B,"")</f>
        <v>8702.5499999999993</v>
      </c>
      <c r="F406">
        <f>_xlfn.XLOOKUP(A406,'[3]Monthly-Evolution-of-the-Purch'!$C:$C,'[3]Monthly-Evolution-of-the-Purch'!$B:$B,"")</f>
        <v>57.06653412</v>
      </c>
      <c r="G406">
        <f>_xlfn.XLOOKUP(A406,[4]NGDPRSAXDCSAQ_PCH!$A:$A,[5]NGDPRSAXDCSAQ_PCH!$B:$B,"")</f>
        <v>1.6000799999999999</v>
      </c>
    </row>
    <row r="407" spans="1:7" x14ac:dyDescent="0.2">
      <c r="A407" s="3">
        <v>44228</v>
      </c>
      <c r="B407" s="2">
        <v>62.276499999999999</v>
      </c>
      <c r="C407">
        <v>1.4613023558331821E-2</v>
      </c>
      <c r="D407">
        <f>_xlfn.XLOOKUP(A407,[1]Sheet2!$C:$C,[1]Sheet2!$B:$B,"")</f>
        <v>94.512263477400609</v>
      </c>
      <c r="E407">
        <f>_xlfn.XLOOKUP(A407,[2]Sheet2!$C:$C,[2]Sheet2!$B:$B,"")</f>
        <v>9144.99</v>
      </c>
      <c r="F407">
        <f>_xlfn.XLOOKUP(A407,'[3]Monthly-Evolution-of-the-Purch'!$C:$C,'[3]Monthly-Evolution-of-the-Purch'!$B:$B,"")</f>
        <v>53.869904890000001</v>
      </c>
      <c r="G407" t="str">
        <f>_xlfn.XLOOKUP(A407,[4]NGDPRSAXDCSAQ_PCH!$A:$A,[5]NGDPRSAXDCSAQ_PCH!$B:$B,"")</f>
        <v/>
      </c>
    </row>
    <row r="408" spans="1:7" x14ac:dyDescent="0.2">
      <c r="A408" s="3">
        <v>44256</v>
      </c>
      <c r="B408" s="2">
        <v>65.41</v>
      </c>
      <c r="C408">
        <v>3.4131436003434976E-2</v>
      </c>
      <c r="D408">
        <f>_xlfn.XLOOKUP(A408,[1]Sheet2!$C:$C,[1]Sheet2!$B:$B,"")</f>
        <v>94.50450347246138</v>
      </c>
      <c r="E408">
        <f>_xlfn.XLOOKUP(A408,[2]Sheet2!$C:$C,[2]Sheet2!$B:$B,"")</f>
        <v>9907.82</v>
      </c>
      <c r="F408">
        <f>_xlfn.XLOOKUP(A408,'[3]Monthly-Evolution-of-the-Purch'!$C:$C,'[3]Monthly-Evolution-of-the-Purch'!$B:$B,"")</f>
        <v>53.343979990000001</v>
      </c>
      <c r="G408" t="str">
        <f>_xlfn.XLOOKUP(A408,[4]NGDPRSAXDCSAQ_PCH!$A:$A,[5]NGDPRSAXDCSAQ_PCH!$B:$B,"")</f>
        <v/>
      </c>
    </row>
    <row r="409" spans="1:7" x14ac:dyDescent="0.2">
      <c r="A409" s="3">
        <v>44287</v>
      </c>
      <c r="B409" s="2">
        <v>64.8065</v>
      </c>
      <c r="C409" t="e">
        <v>#NUM!</v>
      </c>
      <c r="D409">
        <f>_xlfn.XLOOKUP(A409,[1]Sheet2!$C:$C,[1]Sheet2!$B:$B,"")</f>
        <v>94.667963187881014</v>
      </c>
      <c r="E409">
        <f>_xlfn.XLOOKUP(A409,[2]Sheet2!$C:$C,[2]Sheet2!$B:$B,"")</f>
        <v>10418.98</v>
      </c>
      <c r="F409">
        <f>_xlfn.XLOOKUP(A409,'[3]Monthly-Evolution-of-the-Purch'!$C:$C,'[3]Monthly-Evolution-of-the-Purch'!$B:$B,"")</f>
        <v>55.209981139999996</v>
      </c>
      <c r="G409">
        <f>_xlfn.XLOOKUP(A409,[4]NGDPRSAXDCSAQ_PCH!$A:$A,[5]NGDPRSAXDCSAQ_PCH!$B:$B,"")</f>
        <v>0.96416000000000002</v>
      </c>
    </row>
    <row r="410" spans="1:7" x14ac:dyDescent="0.2">
      <c r="A410" s="3">
        <v>44317</v>
      </c>
      <c r="B410" s="2">
        <v>68.534210526315789</v>
      </c>
      <c r="C410" t="e">
        <v>#DIV/0!</v>
      </c>
      <c r="D410">
        <f>_xlfn.XLOOKUP(A410,[1]Sheet2!$C:$C,[1]Sheet2!$B:$B,"")</f>
        <v>94.829951614424402</v>
      </c>
      <c r="E410">
        <f>_xlfn.XLOOKUP(A410,[2]Sheet2!$C:$C,[2]Sheet2!$B:$B,"")</f>
        <v>10551.23</v>
      </c>
      <c r="F410">
        <f>_xlfn.XLOOKUP(A410,'[3]Monthly-Evolution-of-the-Purch'!$C:$C,'[3]Monthly-Evolution-of-the-Purch'!$B:$B,"")</f>
        <v>56.394009359999998</v>
      </c>
      <c r="G410" t="str">
        <f>_xlfn.XLOOKUP(A410,[4]NGDPRSAXDCSAQ_PCH!$A:$A,[5]NGDPRSAXDCSAQ_PCH!$B:$B,"")</f>
        <v/>
      </c>
    </row>
    <row r="411" spans="1:7" x14ac:dyDescent="0.2">
      <c r="A411" s="3">
        <v>44348</v>
      </c>
      <c r="B411" s="2">
        <v>73.164090909090916</v>
      </c>
      <c r="C411">
        <v>9.4781858920435884E-3</v>
      </c>
      <c r="D411">
        <f>_xlfn.XLOOKUP(A411,[1]Sheet2!$C:$C,[1]Sheet2!$B:$B,"")</f>
        <v>94.981106167087574</v>
      </c>
      <c r="E411">
        <f>_xlfn.XLOOKUP(A411,[2]Sheet2!$C:$C,[2]Sheet2!$B:$B,"")</f>
        <v>10984.15</v>
      </c>
      <c r="F411">
        <f>_xlfn.XLOOKUP(A411,'[3]Monthly-Evolution-of-the-Purch'!$C:$C,'[3]Monthly-Evolution-of-the-Purch'!$B:$B,"")</f>
        <v>56.354788560000003</v>
      </c>
      <c r="G411" t="str">
        <f>_xlfn.XLOOKUP(A411,[4]NGDPRSAXDCSAQ_PCH!$A:$A,[5]NGDPRSAXDCSAQ_PCH!$B:$B,"")</f>
        <v/>
      </c>
    </row>
    <row r="412" spans="1:7" x14ac:dyDescent="0.2">
      <c r="A412" s="3">
        <v>44378</v>
      </c>
      <c r="B412" s="2">
        <v>75.165909090909082</v>
      </c>
      <c r="C412">
        <v>2.5415545076484448E-2</v>
      </c>
      <c r="D412">
        <f>_xlfn.XLOOKUP(A412,[1]Sheet2!$C:$C,[1]Sheet2!$B:$B,"")</f>
        <v>95.222856802259003</v>
      </c>
      <c r="E412">
        <f>_xlfn.XLOOKUP(A412,[2]Sheet2!$C:$C,[2]Sheet2!$B:$B,"")</f>
        <v>11012.71</v>
      </c>
      <c r="F412">
        <f>_xlfn.XLOOKUP(A412,'[3]Monthly-Evolution-of-the-Purch'!$C:$C,'[3]Monthly-Evolution-of-the-Purch'!$B:$B,"")</f>
        <v>55.81499178</v>
      </c>
      <c r="G412">
        <f>_xlfn.XLOOKUP(A412,[4]NGDPRSAXDCSAQ_PCH!$A:$A,[5]NGDPRSAXDCSAQ_PCH!$B:$B,"")</f>
        <v>4.04758</v>
      </c>
    </row>
    <row r="413" spans="1:7" x14ac:dyDescent="0.2">
      <c r="A413" s="3">
        <v>44409</v>
      </c>
      <c r="B413" s="2">
        <v>70.747142857142862</v>
      </c>
      <c r="C413" t="e">
        <v>#NUM!</v>
      </c>
      <c r="D413">
        <f>_xlfn.XLOOKUP(A413,[1]Sheet2!$C:$C,[1]Sheet2!$B:$B,"")</f>
        <v>95.323933327894053</v>
      </c>
      <c r="E413">
        <f>_xlfn.XLOOKUP(A413,[2]Sheet2!$C:$C,[2]Sheet2!$B:$B,"")</f>
        <v>11319.24</v>
      </c>
      <c r="F413">
        <f>_xlfn.XLOOKUP(A413,'[3]Monthly-Evolution-of-the-Purch'!$C:$C,'[3]Monthly-Evolution-of-the-Purch'!$B:$B,"")</f>
        <v>54.143964080000003</v>
      </c>
      <c r="G413" t="str">
        <f>_xlfn.XLOOKUP(A413,[4]NGDPRSAXDCSAQ_PCH!$A:$A,[5]NGDPRSAXDCSAQ_PCH!$B:$B,"")</f>
        <v/>
      </c>
    </row>
    <row r="414" spans="1:7" x14ac:dyDescent="0.2">
      <c r="A414" s="3">
        <v>44440</v>
      </c>
      <c r="B414" s="2">
        <v>74.48863636363636</v>
      </c>
      <c r="C414">
        <v>1.3017033410509341E-2</v>
      </c>
      <c r="D414">
        <f>_xlfn.XLOOKUP(A414,[1]Sheet2!$C:$C,[1]Sheet2!$B:$B,"")</f>
        <v>95.472339183590819</v>
      </c>
      <c r="E414">
        <f>_xlfn.XLOOKUP(A414,[2]Sheet2!$C:$C,[2]Sheet2!$B:$B,"")</f>
        <v>11495.76</v>
      </c>
      <c r="F414">
        <f>_xlfn.XLOOKUP(A414,'[3]Monthly-Evolution-of-the-Purch'!$C:$C,'[3]Monthly-Evolution-of-the-Purch'!$B:$B,"")</f>
        <v>58.580037859999997</v>
      </c>
      <c r="G414" t="str">
        <f>_xlfn.XLOOKUP(A414,[4]NGDPRSAXDCSAQ_PCH!$A:$A,[5]NGDPRSAXDCSAQ_PCH!$B:$B,"")</f>
        <v/>
      </c>
    </row>
    <row r="415" spans="1:7" x14ac:dyDescent="0.2">
      <c r="A415" s="3">
        <v>44470</v>
      </c>
      <c r="B415" s="2">
        <v>83.538095238095224</v>
      </c>
      <c r="C415">
        <v>1.153718492775443E-2</v>
      </c>
      <c r="D415">
        <f>_xlfn.XLOOKUP(A415,[1]Sheet2!$C:$C,[1]Sheet2!$B:$B,"")</f>
        <v>95.869403454619203</v>
      </c>
      <c r="E415">
        <f>_xlfn.XLOOKUP(A415,[2]Sheet2!$C:$C,[2]Sheet2!$B:$B,"")</f>
        <v>11704.14</v>
      </c>
      <c r="F415">
        <f>_xlfn.XLOOKUP(A415,'[3]Monthly-Evolution-of-the-Purch'!$C:$C,'[3]Monthly-Evolution-of-the-Purch'!$B:$B,"")</f>
        <v>57.693611859999997</v>
      </c>
      <c r="G415">
        <f>_xlfn.XLOOKUP(A415,[4]NGDPRSAXDCSAQ_PCH!$A:$A,[5]NGDPRSAXDCSAQ_PCH!$B:$B,"")</f>
        <v>2.4889700000000001</v>
      </c>
    </row>
    <row r="416" spans="1:7" x14ac:dyDescent="0.2">
      <c r="A416" s="3">
        <v>44501</v>
      </c>
      <c r="B416" s="2">
        <v>81.05</v>
      </c>
      <c r="C416">
        <v>3.2657634559787201E-2</v>
      </c>
      <c r="D416">
        <f>_xlfn.XLOOKUP(A416,[1]Sheet2!$C:$C,[1]Sheet2!$B:$B,"")</f>
        <v>95.986541916958814</v>
      </c>
      <c r="E416">
        <f>_xlfn.XLOOKUP(A416,[2]Sheet2!$C:$C,[2]Sheet2!$B:$B,"")</f>
        <v>10761.8</v>
      </c>
      <c r="F416">
        <f>_xlfn.XLOOKUP(A416,'[3]Monthly-Evolution-of-the-Purch'!$C:$C,'[3]Monthly-Evolution-of-the-Purch'!$B:$B,"")</f>
        <v>56.864154919999997</v>
      </c>
      <c r="G416" t="str">
        <f>_xlfn.XLOOKUP(A416,[4]NGDPRSAXDCSAQ_PCH!$A:$A,[5]NGDPRSAXDCSAQ_PCH!$B:$B,"")</f>
        <v/>
      </c>
    </row>
    <row r="417" spans="1:7" x14ac:dyDescent="0.2">
      <c r="A417" s="3">
        <v>44531</v>
      </c>
      <c r="B417" s="2">
        <v>74.170476190476194</v>
      </c>
      <c r="C417" t="e">
        <v>#NUM!</v>
      </c>
      <c r="D417">
        <f>_xlfn.XLOOKUP(A417,[1]Sheet2!$C:$C,[1]Sheet2!$B:$B,"")</f>
        <v>96.002186067032198</v>
      </c>
      <c r="E417">
        <f>_xlfn.XLOOKUP(A417,[2]Sheet2!$C:$C,[2]Sheet2!$B:$B,"")</f>
        <v>11281.71</v>
      </c>
      <c r="F417">
        <f>_xlfn.XLOOKUP(A417,'[3]Monthly-Evolution-of-the-Purch'!$C:$C,'[3]Monthly-Evolution-of-the-Purch'!$B:$B,"")</f>
        <v>53.870383689999997</v>
      </c>
      <c r="G417" t="str">
        <f>_xlfn.XLOOKUP(A417,[4]NGDPRSAXDCSAQ_PCH!$A:$A,[5]NGDPRSAXDCSAQ_PCH!$B:$B,"")</f>
        <v/>
      </c>
    </row>
    <row r="418" spans="1:7" x14ac:dyDescent="0.2">
      <c r="A418" s="3">
        <v>44562</v>
      </c>
      <c r="B418" s="2">
        <v>86.505238095238084</v>
      </c>
      <c r="C418">
        <v>1.4420881442427027E-2</v>
      </c>
      <c r="D418">
        <f>_xlfn.XLOOKUP(A418,[1]Sheet2!$C:$C,[1]Sheet2!$B:$B,"")</f>
        <v>96.076413761477824</v>
      </c>
      <c r="E418">
        <f>_xlfn.XLOOKUP(A418,[2]Sheet2!$C:$C,[2]Sheet2!$B:$B,"")</f>
        <v>12271.84</v>
      </c>
      <c r="F418">
        <f>_xlfn.XLOOKUP(A418,'[3]Monthly-Evolution-of-the-Purch'!$C:$C,'[3]Monthly-Evolution-of-the-Purch'!$B:$B,"")</f>
        <v>53.228844449999997</v>
      </c>
      <c r="G418">
        <f>_xlfn.XLOOKUP(A418,[4]NGDPRSAXDCSAQ_PCH!$A:$A,[5]NGDPRSAXDCSAQ_PCH!$B:$B,"")</f>
        <v>4.18764</v>
      </c>
    </row>
    <row r="419" spans="1:7" x14ac:dyDescent="0.2">
      <c r="A419" s="3">
        <v>44593</v>
      </c>
      <c r="B419" s="2">
        <v>97.129000000000005</v>
      </c>
      <c r="C419">
        <v>2.6680312790837154E-2</v>
      </c>
      <c r="D419">
        <f>_xlfn.XLOOKUP(A419,[1]Sheet2!$C:$C,[1]Sheet2!$B:$B,"")</f>
        <v>96.312195369901133</v>
      </c>
      <c r="E419">
        <f>_xlfn.XLOOKUP(A419,[2]Sheet2!$C:$C,[2]Sheet2!$B:$B,"")</f>
        <v>12590.26</v>
      </c>
      <c r="F419">
        <f>_xlfn.XLOOKUP(A419,'[3]Monthly-Evolution-of-the-Purch'!$C:$C,'[3]Monthly-Evolution-of-the-Purch'!$B:$B,"")</f>
        <v>56.190981149999999</v>
      </c>
      <c r="G419" t="str">
        <f>_xlfn.XLOOKUP(A419,[4]NGDPRSAXDCSAQ_PCH!$A:$A,[5]NGDPRSAXDCSAQ_PCH!$B:$B,"")</f>
        <v/>
      </c>
    </row>
    <row r="420" spans="1:7" x14ac:dyDescent="0.2">
      <c r="A420" s="3">
        <v>44621</v>
      </c>
      <c r="B420" s="2">
        <v>117.24521739130434</v>
      </c>
      <c r="C420">
        <v>5.4412560143034611E-2</v>
      </c>
      <c r="D420">
        <f>_xlfn.XLOOKUP(A420,[1]Sheet2!$C:$C,[1]Sheet2!$B:$B,"")</f>
        <v>96.466774040704976</v>
      </c>
      <c r="E420">
        <f>_xlfn.XLOOKUP(A420,[2]Sheet2!$C:$C,[2]Sheet2!$B:$B,"")</f>
        <v>13090.4</v>
      </c>
      <c r="F420">
        <f>_xlfn.XLOOKUP(A420,'[3]Monthly-Evolution-of-the-Purch'!$C:$C,'[3]Monthly-Evolution-of-the-Purch'!$B:$B,"")</f>
        <v>56.789057049999997</v>
      </c>
      <c r="G420" t="str">
        <f>_xlfn.XLOOKUP(A420,[4]NGDPRSAXDCSAQ_PCH!$A:$A,[5]NGDPRSAXDCSAQ_PCH!$B:$B,"")</f>
        <v/>
      </c>
    </row>
    <row r="421" spans="1:7" x14ac:dyDescent="0.2">
      <c r="A421" s="3">
        <v>44652</v>
      </c>
      <c r="B421" s="2">
        <v>104.57526315789472</v>
      </c>
      <c r="C421" t="e">
        <v>#NUM!</v>
      </c>
      <c r="D421">
        <f>_xlfn.XLOOKUP(A421,[1]Sheet2!$C:$C,[1]Sheet2!$B:$B,"")</f>
        <v>96.816084664794971</v>
      </c>
      <c r="E421">
        <f>_xlfn.XLOOKUP(A421,[2]Sheet2!$C:$C,[2]Sheet2!$B:$B,"")</f>
        <v>13733.87</v>
      </c>
      <c r="F421">
        <f>_xlfn.XLOOKUP(A421,'[3]Monthly-Evolution-of-the-Purch'!$C:$C,'[3]Monthly-Evolution-of-the-Purch'!$B:$B,"")</f>
        <v>55.656672309999998</v>
      </c>
      <c r="G421">
        <f>_xlfn.XLOOKUP(A421,[4]NGDPRSAXDCSAQ_PCH!$A:$A,[5]NGDPRSAXDCSAQ_PCH!$B:$B,"")</f>
        <v>2.6316299999999999</v>
      </c>
    </row>
    <row r="422" spans="1:7" x14ac:dyDescent="0.2">
      <c r="A422" s="3">
        <v>44682</v>
      </c>
      <c r="B422" s="2">
        <v>113.33761904761907</v>
      </c>
      <c r="C422" t="e">
        <v>#DIV/0!</v>
      </c>
      <c r="D422">
        <f>_xlfn.XLOOKUP(A422,[1]Sheet2!$C:$C,[1]Sheet2!$B:$B,"")</f>
        <v>97.016348747959555</v>
      </c>
      <c r="E422">
        <f>_xlfn.XLOOKUP(A422,[2]Sheet2!$C:$C,[2]Sheet2!$B:$B,"")</f>
        <v>12921.74</v>
      </c>
      <c r="F422">
        <f>_xlfn.XLOOKUP(A422,'[3]Monthly-Evolution-of-the-Purch'!$C:$C,'[3]Monthly-Evolution-of-the-Purch'!$B:$B,"")</f>
        <v>55.685690030000004</v>
      </c>
      <c r="G422" t="str">
        <f>_xlfn.XLOOKUP(A422,[4]NGDPRSAXDCSAQ_PCH!$A:$A,[5]NGDPRSAXDCSAQ_PCH!$B:$B,"")</f>
        <v/>
      </c>
    </row>
    <row r="423" spans="1:7" x14ac:dyDescent="0.2">
      <c r="A423" s="3">
        <v>44713</v>
      </c>
      <c r="B423" s="2">
        <v>122.71095238095242</v>
      </c>
      <c r="C423" t="e">
        <v>#NUM!</v>
      </c>
      <c r="D423">
        <f>_xlfn.XLOOKUP(A423,[1]Sheet2!$C:$C,[1]Sheet2!$B:$B,"")</f>
        <v>97.244219524787709</v>
      </c>
      <c r="E423">
        <f>_xlfn.XLOOKUP(A423,[2]Sheet2!$C:$C,[2]Sheet2!$B:$B,"")</f>
        <v>11523.25</v>
      </c>
      <c r="F423">
        <f>_xlfn.XLOOKUP(A423,'[3]Monthly-Evolution-of-the-Purch'!$C:$C,'[3]Monthly-Evolution-of-the-Purch'!$B:$B,"")</f>
        <v>56.958304069999997</v>
      </c>
      <c r="G423" t="str">
        <f>_xlfn.XLOOKUP(A423,[4]NGDPRSAXDCSAQ_PCH!$A:$A,[5]NGDPRSAXDCSAQ_PCH!$B:$B,"")</f>
        <v/>
      </c>
    </row>
    <row r="424" spans="1:7" x14ac:dyDescent="0.2">
      <c r="A424" s="3">
        <v>44743</v>
      </c>
      <c r="B424" s="2">
        <v>111.92571428571429</v>
      </c>
      <c r="C424">
        <v>3.739301664757734E-2</v>
      </c>
      <c r="D424">
        <f>_xlfn.XLOOKUP(A424,[1]Sheet2!$C:$C,[1]Sheet2!$B:$B,"")</f>
        <v>97.737373407324625</v>
      </c>
      <c r="E424">
        <f>_xlfn.XLOOKUP(A424,[2]Sheet2!$C:$C,[2]Sheet2!$B:$B,"")</f>
        <v>12199.08</v>
      </c>
      <c r="F424">
        <f>_xlfn.XLOOKUP(A424,'[3]Monthly-Evolution-of-the-Purch'!$C:$C,'[3]Monthly-Evolution-of-the-Purch'!$B:$B,"")</f>
        <v>56.335049429999998</v>
      </c>
      <c r="G424">
        <f>_xlfn.XLOOKUP(A424,[4]NGDPRSAXDCSAQ_PCH!$A:$A,[5]NGDPRSAXDCSAQ_PCH!$B:$B,"")</f>
        <v>2.3325999999999998</v>
      </c>
    </row>
    <row r="425" spans="1:7" x14ac:dyDescent="0.2">
      <c r="A425" s="3">
        <v>44774</v>
      </c>
      <c r="B425" s="2">
        <v>100.44636363636364</v>
      </c>
      <c r="C425" t="e">
        <v>#NUM!</v>
      </c>
      <c r="D425">
        <f>_xlfn.XLOOKUP(A425,[1]Sheet2!$C:$C,[1]Sheet2!$B:$B,"")</f>
        <v>98.144782224064414</v>
      </c>
      <c r="E425">
        <f>_xlfn.XLOOKUP(A425,[2]Sheet2!$C:$C,[2]Sheet2!$B:$B,"")</f>
        <v>12283.33</v>
      </c>
      <c r="F425">
        <f>_xlfn.XLOOKUP(A425,'[3]Monthly-Evolution-of-the-Purch'!$C:$C,'[3]Monthly-Evolution-of-the-Purch'!$B:$B,"")</f>
        <v>57.676270000000002</v>
      </c>
      <c r="G425" t="str">
        <f>_xlfn.XLOOKUP(A425,[4]NGDPRSAXDCSAQ_PCH!$A:$A,[5]NGDPRSAXDCSAQ_PCH!$B:$B,"")</f>
        <v/>
      </c>
    </row>
    <row r="426" spans="1:7" x14ac:dyDescent="0.2">
      <c r="A426" s="3">
        <v>44805</v>
      </c>
      <c r="B426" s="2">
        <v>89.764761904761912</v>
      </c>
      <c r="C426" t="e">
        <v>#NUM!</v>
      </c>
      <c r="D426">
        <f>_xlfn.XLOOKUP(A426,[1]Sheet2!$C:$C,[1]Sheet2!$B:$B,"")</f>
        <v>98.340203301363033</v>
      </c>
      <c r="E426">
        <f>_xlfn.XLOOKUP(A426,[2]Sheet2!$C:$C,[2]Sheet2!$B:$B,"")</f>
        <v>11405.32</v>
      </c>
      <c r="F426">
        <f>_xlfn.XLOOKUP(A426,'[3]Monthly-Evolution-of-the-Purch'!$C:$C,'[3]Monthly-Evolution-of-the-Purch'!$B:$B,"")</f>
        <v>56.560588940000002</v>
      </c>
      <c r="G426" t="str">
        <f>_xlfn.XLOOKUP(A426,[4]NGDPRSAXDCSAQ_PCH!$A:$A,[5]NGDPRSAXDCSAQ_PCH!$B:$B,"")</f>
        <v/>
      </c>
    </row>
    <row r="427" spans="1:7" x14ac:dyDescent="0.2">
      <c r="A427" s="3">
        <v>44835</v>
      </c>
      <c r="B427" s="2">
        <v>93.331904761904767</v>
      </c>
      <c r="C427">
        <v>1.8141538677228689E-2</v>
      </c>
      <c r="D427">
        <f>_xlfn.XLOOKUP(A427,[1]Sheet2!$C:$C,[1]Sheet2!$B:$B,"")</f>
        <v>98.801487365729216</v>
      </c>
      <c r="E427">
        <f>_xlfn.XLOOKUP(A427,[2]Sheet2!$C:$C,[2]Sheet2!$B:$B,"")</f>
        <v>11667.8</v>
      </c>
      <c r="F427">
        <f>_xlfn.XLOOKUP(A427,'[3]Monthly-Evolution-of-the-Purch'!$C:$C,'[3]Monthly-Evolution-of-the-Purch'!$B:$B,"")</f>
        <v>57.171799419999999</v>
      </c>
      <c r="G427">
        <f>_xlfn.XLOOKUP(A427,[4]NGDPRSAXDCSAQ_PCH!$A:$A,[5]NGDPRSAXDCSAQ_PCH!$B:$B,"")</f>
        <v>0.34057999999999999</v>
      </c>
    </row>
    <row r="428" spans="1:7" x14ac:dyDescent="0.2">
      <c r="A428" s="3">
        <v>44866</v>
      </c>
      <c r="B428" s="2">
        <v>91.415454545454551</v>
      </c>
      <c r="C428">
        <v>2.1281401972861307E-2</v>
      </c>
      <c r="D428">
        <f>_xlfn.XLOOKUP(A428,[1]Sheet2!$C:$C,[1]Sheet2!$B:$B,"")</f>
        <v>98.94708702033266</v>
      </c>
      <c r="E428">
        <f>_xlfn.XLOOKUP(A428,[2]Sheet2!$C:$C,[2]Sheet2!$B:$B,"")</f>
        <v>10896.91</v>
      </c>
      <c r="F428">
        <f>_xlfn.XLOOKUP(A428,'[3]Monthly-Evolution-of-the-Purch'!$C:$C,'[3]Monthly-Evolution-of-the-Purch'!$B:$B,"")</f>
        <v>58.469176150000003</v>
      </c>
      <c r="G428" t="str">
        <f>_xlfn.XLOOKUP(A428,[4]NGDPRSAXDCSAQ_PCH!$A:$A,[5]NGDPRSAXDCSAQ_PCH!$B:$B,"")</f>
        <v/>
      </c>
    </row>
    <row r="429" spans="1:7" x14ac:dyDescent="0.2">
      <c r="A429" s="3">
        <v>44896</v>
      </c>
      <c r="B429" s="2">
        <v>80.924000000000007</v>
      </c>
      <c r="C429" t="e">
        <v>#NUM!</v>
      </c>
      <c r="D429">
        <f>_xlfn.XLOOKUP(A429,[1]Sheet2!$C:$C,[1]Sheet2!$B:$B,"")</f>
        <v>99.138970990612208</v>
      </c>
      <c r="E429">
        <f>_xlfn.XLOOKUP(A429,[2]Sheet2!$C:$C,[2]Sheet2!$B:$B,"")</f>
        <v>10478.459999999999</v>
      </c>
      <c r="F429">
        <f>_xlfn.XLOOKUP(A429,'[3]Monthly-Evolution-of-the-Purch'!$C:$C,'[3]Monthly-Evolution-of-the-Purch'!$B:$B,"")</f>
        <v>56.927626080000003</v>
      </c>
      <c r="G429" t="str">
        <f>_xlfn.XLOOKUP(A429,[4]NGDPRSAXDCSAQ_PCH!$A:$A,[5]NGDPRSAXDCSAQ_PCH!$B:$B,"")</f>
        <v/>
      </c>
    </row>
    <row r="430" spans="1:7" x14ac:dyDescent="0.2">
      <c r="A430" s="3">
        <v>44927</v>
      </c>
      <c r="B430" s="2">
        <v>82.501428571428576</v>
      </c>
      <c r="C430" t="e">
        <v>#DIV/0!</v>
      </c>
      <c r="D430">
        <f>_xlfn.XLOOKUP(A430,[1]Sheet2!$C:$C,[1]Sheet2!$B:$B,"")</f>
        <v>99.287347403142363</v>
      </c>
      <c r="E430">
        <f>_xlfn.XLOOKUP(A430,[2]Sheet2!$C:$C,[2]Sheet2!$B:$B,"")</f>
        <v>10792.85</v>
      </c>
      <c r="F430">
        <f>_xlfn.XLOOKUP(A430,'[3]Monthly-Evolution-of-the-Purch'!$C:$C,'[3]Monthly-Evolution-of-the-Purch'!$B:$B,"")</f>
        <v>58.229460430000003</v>
      </c>
      <c r="G430">
        <f>_xlfn.XLOOKUP(A430,[4]NGDPRSAXDCSAQ_PCH!$A:$A,[5]NGDPRSAXDCSAQ_PCH!$B:$B,"")</f>
        <v>3.7249999999999998E-2</v>
      </c>
    </row>
    <row r="431" spans="1:7" x14ac:dyDescent="0.2">
      <c r="A431" s="3">
        <v>44958</v>
      </c>
      <c r="B431" s="2">
        <v>82.585000000000008</v>
      </c>
      <c r="C431">
        <v>1.8521985511119374E-2</v>
      </c>
      <c r="D431">
        <f>_xlfn.XLOOKUP(A431,[1]Sheet2!$C:$C,[1]Sheet2!$B:$B,"")</f>
        <v>99.439084795753928</v>
      </c>
      <c r="E431">
        <f>_xlfn.XLOOKUP(A431,[2]Sheet2!$C:$C,[2]Sheet2!$B:$B,"")</f>
        <v>10102.700000000001</v>
      </c>
      <c r="F431">
        <f>_xlfn.XLOOKUP(A431,'[3]Monthly-Evolution-of-the-Purch'!$C:$C,'[3]Monthly-Evolution-of-the-Purch'!$B:$B,"")</f>
        <v>59.824767119999997</v>
      </c>
      <c r="G431" t="str">
        <f>_xlfn.XLOOKUP(A431,[4]NGDPRSAXDCSAQ_PCH!$A:$A,[5]NGDPRSAXDCSAQ_PCH!$B:$B,"")</f>
        <v/>
      </c>
    </row>
    <row r="432" spans="1:7" x14ac:dyDescent="0.2">
      <c r="A432" s="3">
        <v>44986</v>
      </c>
      <c r="B432" s="2">
        <v>78.434347826086949</v>
      </c>
      <c r="C432">
        <v>2.8408393424255836E-2</v>
      </c>
      <c r="D432">
        <f>_xlfn.XLOOKUP(A432,[1]Sheet2!$C:$C,[1]Sheet2!$B:$B,"")</f>
        <v>99.579259751755586</v>
      </c>
      <c r="E432">
        <f>_xlfn.XLOOKUP(A432,[2]Sheet2!$C:$C,[2]Sheet2!$B:$B,"")</f>
        <v>10590.1</v>
      </c>
      <c r="F432">
        <f>_xlfn.XLOOKUP(A432,'[3]Monthly-Evolution-of-the-Purch'!$C:$C,'[3]Monthly-Evolution-of-the-Purch'!$B:$B,"")</f>
        <v>58.734636860000002</v>
      </c>
      <c r="G432" t="str">
        <f>_xlfn.XLOOKUP(A432,[4]NGDPRSAXDCSAQ_PCH!$A:$A,[5]NGDPRSAXDCSAQ_PCH!$B:$B,"")</f>
        <v/>
      </c>
    </row>
    <row r="433" spans="1:7" x14ac:dyDescent="0.2">
      <c r="A433" s="3">
        <v>45017</v>
      </c>
      <c r="B433" s="2">
        <v>84.638333333333321</v>
      </c>
      <c r="C433" t="e">
        <v>#NUM!</v>
      </c>
      <c r="D433">
        <f>_xlfn.XLOOKUP(A433,[1]Sheet2!$C:$C,[1]Sheet2!$B:$B,"")</f>
        <v>99.85418930190896</v>
      </c>
      <c r="E433">
        <f>_xlfn.XLOOKUP(A433,[2]Sheet2!$C:$C,[2]Sheet2!$B:$B,"")</f>
        <v>11307.77</v>
      </c>
      <c r="F433">
        <f>_xlfn.XLOOKUP(A433,'[3]Monthly-Evolution-of-the-Purch'!$C:$C,'[3]Monthly-Evolution-of-the-Purch'!$B:$B,"")</f>
        <v>59.583304949999999</v>
      </c>
      <c r="G433">
        <f>_xlfn.XLOOKUP(A433,[4]NGDPRSAXDCSAQ_PCH!$A:$A,[5]NGDPRSAXDCSAQ_PCH!$B:$B,"")</f>
        <v>-0.37679000000000001</v>
      </c>
    </row>
    <row r="434" spans="1:7" x14ac:dyDescent="0.2">
      <c r="A434" s="3">
        <v>45047</v>
      </c>
      <c r="B434" s="2">
        <v>75.466000000000008</v>
      </c>
      <c r="C434" t="e">
        <v>#DIV/0!</v>
      </c>
      <c r="D434">
        <f>_xlfn.XLOOKUP(A434,[1]Sheet2!$C:$C,[1]Sheet2!$B:$B,"")</f>
        <v>99.701402496550685</v>
      </c>
      <c r="E434">
        <f>_xlfn.XLOOKUP(A434,[2]Sheet2!$C:$C,[2]Sheet2!$B:$B,"")</f>
        <v>11014.13</v>
      </c>
      <c r="F434">
        <f>_xlfn.XLOOKUP(A434,'[3]Monthly-Evolution-of-the-Purch'!$C:$C,'[3]Monthly-Evolution-of-the-Purch'!$B:$B,"")</f>
        <v>58.548930779999999</v>
      </c>
      <c r="G434" t="str">
        <f>_xlfn.XLOOKUP(A434,[4]NGDPRSAXDCSAQ_PCH!$A:$A,[5]NGDPRSAXDCSAQ_PCH!$B:$B,"")</f>
        <v/>
      </c>
    </row>
    <row r="435" spans="1:7" x14ac:dyDescent="0.2">
      <c r="A435" s="3">
        <v>45078</v>
      </c>
      <c r="B435" s="2">
        <v>74.839090909090899</v>
      </c>
      <c r="C435">
        <v>2.0126114481866728E-2</v>
      </c>
      <c r="D435">
        <f>_xlfn.XLOOKUP(A435,[1]Sheet2!$C:$C,[1]Sheet2!$B:$B,"")</f>
        <v>99.796292827925157</v>
      </c>
      <c r="E435">
        <f>_xlfn.XLOOKUP(A435,[2]Sheet2!$C:$C,[2]Sheet2!$B:$B,"")</f>
        <v>11458.98</v>
      </c>
      <c r="F435">
        <f>_xlfn.XLOOKUP(A435,'[3]Monthly-Evolution-of-the-Purch'!$C:$C,'[3]Monthly-Evolution-of-the-Purch'!$B:$B,"")</f>
        <v>59.553761479999999</v>
      </c>
      <c r="G435" t="str">
        <f>_xlfn.XLOOKUP(A435,[4]NGDPRSAXDCSAQ_PCH!$A:$A,[5]NGDPRSAXDCSAQ_PCH!$B:$B,"")</f>
        <v/>
      </c>
    </row>
    <row r="436" spans="1:7" x14ac:dyDescent="0.2">
      <c r="A436" s="3">
        <v>45108</v>
      </c>
      <c r="B436" s="2">
        <v>80.108095238095231</v>
      </c>
      <c r="C436">
        <v>1.3936046336093522E-2</v>
      </c>
      <c r="D436">
        <f>_xlfn.XLOOKUP(A436,[1]Sheet2!$C:$C,[1]Sheet2!$B:$B,"")</f>
        <v>100.1493991511865</v>
      </c>
      <c r="E436">
        <f>_xlfn.XLOOKUP(A436,[2]Sheet2!$C:$C,[2]Sheet2!$B:$B,"")</f>
        <v>11692.23</v>
      </c>
      <c r="F436">
        <f>_xlfn.XLOOKUP(A436,'[3]Monthly-Evolution-of-the-Purch'!$C:$C,'[3]Monthly-Evolution-of-the-Purch'!$B:$B,"")</f>
        <v>57.740745160000003</v>
      </c>
      <c r="G436">
        <f>_xlfn.XLOOKUP(A436,[4]NGDPRSAXDCSAQ_PCH!$A:$A,[5]NGDPRSAXDCSAQ_PCH!$B:$B,"")</f>
        <v>-2.6168100000000001</v>
      </c>
    </row>
    <row r="437" spans="1:7" x14ac:dyDescent="0.2">
      <c r="A437" s="3">
        <v>45139</v>
      </c>
      <c r="B437" s="2">
        <v>86.147727272727266</v>
      </c>
      <c r="C437" t="e">
        <v>#NUM!</v>
      </c>
      <c r="D437">
        <f>_xlfn.XLOOKUP(A437,[1]Sheet2!$C:$C,[1]Sheet2!$B:$B,"")</f>
        <v>100.16365934787467</v>
      </c>
      <c r="E437">
        <f>_xlfn.XLOOKUP(A437,[2]Sheet2!$C:$C,[2]Sheet2!$B:$B,"")</f>
        <v>11491.2</v>
      </c>
      <c r="F437">
        <f>_xlfn.XLOOKUP(A437,'[3]Monthly-Evolution-of-the-Purch'!$C:$C,'[3]Monthly-Evolution-of-the-Purch'!$B:$B,"")</f>
        <v>56.556254099999997</v>
      </c>
      <c r="G437" t="str">
        <f>_xlfn.XLOOKUP(A437,[4]NGDPRSAXDCSAQ_PCH!$A:$A,[5]NGDPRSAXDCSAQ_PCH!$B:$B,"")</f>
        <v/>
      </c>
    </row>
    <row r="438" spans="1:7" x14ac:dyDescent="0.2">
      <c r="A438" s="3">
        <v>45170</v>
      </c>
      <c r="B438" s="2">
        <v>93.722380952380945</v>
      </c>
      <c r="C438">
        <v>1.5548588985308542E-2</v>
      </c>
      <c r="D438">
        <f>_xlfn.XLOOKUP(A438,[1]Sheet2!$C:$C,[1]Sheet2!$B:$B,"")</f>
        <v>100.1519055746833</v>
      </c>
      <c r="E438">
        <f>_xlfn.XLOOKUP(A438,[2]Sheet2!$C:$C,[2]Sheet2!$B:$B,"")</f>
        <v>11055.96</v>
      </c>
      <c r="F438">
        <f>_xlfn.XLOOKUP(A438,'[3]Monthly-Evolution-of-the-Purch'!$C:$C,'[3]Monthly-Evolution-of-the-Purch'!$B:$B,"")</f>
        <v>57.158436279999997</v>
      </c>
      <c r="G438" t="str">
        <f>_xlfn.XLOOKUP(A438,[4]NGDPRSAXDCSAQ_PCH!$A:$A,[5]NGDPRSAXDCSAQ_PCH!$B:$B,"")</f>
        <v/>
      </c>
    </row>
    <row r="439" spans="1:7" x14ac:dyDescent="0.2">
      <c r="A439" s="3">
        <v>45200</v>
      </c>
      <c r="B439" s="2">
        <v>90.595909090909103</v>
      </c>
      <c r="C439">
        <v>2.9816144475627662E-2</v>
      </c>
      <c r="D439">
        <f>_xlfn.XLOOKUP(A439,[1]Sheet2!$C:$C,[1]Sheet2!$B:$B,"")</f>
        <v>100.40649914216669</v>
      </c>
      <c r="E439">
        <f>_xlfn.XLOOKUP(A439,[2]Sheet2!$C:$C,[2]Sheet2!$B:$B,"")</f>
        <v>10690.09</v>
      </c>
      <c r="F439">
        <f>_xlfn.XLOOKUP(A439,'[3]Monthly-Evolution-of-the-Purch'!$C:$C,'[3]Monthly-Evolution-of-the-Purch'!$B:$B,"")</f>
        <v>58.419825770000003</v>
      </c>
      <c r="G439">
        <f>_xlfn.XLOOKUP(A439,[4]NGDPRSAXDCSAQ_PCH!$A:$A,[5]NGDPRSAXDCSAQ_PCH!$B:$B,"")</f>
        <v>0.27349000000000001</v>
      </c>
    </row>
    <row r="440" spans="1:7" x14ac:dyDescent="0.2">
      <c r="A440" s="3">
        <v>45231</v>
      </c>
      <c r="B440" s="2">
        <v>82.94</v>
      </c>
      <c r="C440">
        <v>2.4996539921231454E-2</v>
      </c>
      <c r="D440">
        <f>_xlfn.XLOOKUP(A440,[1]Sheet2!$C:$C,[1]Sheet2!$B:$B,"")</f>
        <v>100.73809224810701</v>
      </c>
      <c r="E440">
        <f>_xlfn.XLOOKUP(A440,[2]Sheet2!$C:$C,[2]Sheet2!$B:$B,"")</f>
        <v>11177.48</v>
      </c>
      <c r="F440">
        <f>_xlfn.XLOOKUP(A440,'[3]Monthly-Evolution-of-the-Purch'!$C:$C,'[3]Monthly-Evolution-of-the-Purch'!$B:$B,"")</f>
        <v>57.503719179999997</v>
      </c>
      <c r="G440" t="str">
        <f>_xlfn.XLOOKUP(A440,[4]NGDPRSAXDCSAQ_PCH!$A:$A,[5]NGDPRSAXDCSAQ_PCH!$B:$B,"")</f>
        <v/>
      </c>
    </row>
    <row r="441" spans="1:7" x14ac:dyDescent="0.2">
      <c r="A441" s="3">
        <v>45261</v>
      </c>
      <c r="B441" s="2">
        <v>77.631052631578939</v>
      </c>
      <c r="C441" t="e">
        <v>#NUM!</v>
      </c>
      <c r="D441">
        <f>_xlfn.XLOOKUP(A441,[1]Sheet2!$C:$C,[1]Sheet2!$B:$B,"")</f>
        <v>100.74530571218438</v>
      </c>
      <c r="E441">
        <f>_xlfn.XLOOKUP(A441,[2]Sheet2!$C:$C,[2]Sheet2!$B:$B,"")</f>
        <v>11967.39</v>
      </c>
      <c r="F441">
        <f>_xlfn.XLOOKUP(A441,'[3]Monthly-Evolution-of-the-Purch'!$C:$C,'[3]Monthly-Evolution-of-the-Purch'!$B:$B,"")</f>
        <v>57.455772459999999</v>
      </c>
      <c r="G441" t="str">
        <f>_xlfn.XLOOKUP(A441,[4]NGDPRSAXDCSAQ_PCH!$A:$A,[5]NGDPRSAXDCSAQ_PCH!$B:$B,"")</f>
        <v/>
      </c>
    </row>
    <row r="442" spans="1:7" x14ac:dyDescent="0.2">
      <c r="A442" s="3">
        <v>45292</v>
      </c>
      <c r="B442" s="2">
        <v>80.12409090909091</v>
      </c>
      <c r="C442" t="e">
        <v>#DIV/0!</v>
      </c>
      <c r="D442">
        <f>_xlfn.XLOOKUP(A442,[1]Sheet2!$C:$C,[1]Sheet2!$B:$B,"")</f>
        <v>100.95333122705638</v>
      </c>
      <c r="E442">
        <f>_xlfn.XLOOKUP(A442,[2]Sheet2!$C:$C,[2]Sheet2!$B:$B,"")</f>
        <v>11796.63</v>
      </c>
      <c r="F442">
        <f>_xlfn.XLOOKUP(A442,'[3]Monthly-Evolution-of-the-Purch'!$C:$C,'[3]Monthly-Evolution-of-the-Purch'!$B:$B,"")</f>
        <v>55.407158940000002</v>
      </c>
      <c r="G442">
        <f>_xlfn.XLOOKUP(A442,[4]NGDPRSAXDCSAQ_PCH!$A:$A,[5]NGDPRSAXDCSAQ_PCH!$B:$B,"")</f>
        <v>2.3908299999999998</v>
      </c>
    </row>
    <row r="443" spans="1:7" x14ac:dyDescent="0.2">
      <c r="A443" s="3">
        <v>45323</v>
      </c>
      <c r="B443" s="2">
        <v>83.478095238095221</v>
      </c>
      <c r="C443">
        <v>1.1793422814789309E-2</v>
      </c>
      <c r="D443">
        <f>_xlfn.XLOOKUP(A443,[1]Sheet2!$C:$C,[1]Sheet2!$B:$B,"")</f>
        <v>101.00780280925599</v>
      </c>
      <c r="E443">
        <f>_xlfn.XLOOKUP(A443,[2]Sheet2!$C:$C,[2]Sheet2!$B:$B,"")</f>
        <v>12630.86</v>
      </c>
      <c r="F443">
        <f>_xlfn.XLOOKUP(A443,'[3]Monthly-Evolution-of-the-Purch'!$C:$C,'[3]Monthly-Evolution-of-the-Purch'!$B:$B,"")</f>
        <v>57.157999820000001</v>
      </c>
      <c r="G443" t="str">
        <f>_xlfn.XLOOKUP(A443,[4]NGDPRSAXDCSAQ_PCH!$A:$A,[5]NGDPRSAXDCSAQ_PCH!$B:$B,"")</f>
        <v/>
      </c>
    </row>
    <row r="444" spans="1:7" x14ac:dyDescent="0.2">
      <c r="A444" s="3">
        <v>45352</v>
      </c>
      <c r="B444" s="2">
        <v>85.408500000000004</v>
      </c>
      <c r="C444" t="e">
        <v>#NUM!</v>
      </c>
      <c r="D444">
        <f>_xlfn.XLOOKUP(A444,[1]Sheet2!$C:$C,[1]Sheet2!$B:$B,"")</f>
        <v>100.81805471982584</v>
      </c>
      <c r="E444">
        <f>_xlfn.XLOOKUP(A444,[2]Sheet2!$C:$C,[2]Sheet2!$B:$B,"")</f>
        <v>12401.56</v>
      </c>
      <c r="F444">
        <f>_xlfn.XLOOKUP(A444,'[3]Monthly-Evolution-of-the-Purch'!$C:$C,'[3]Monthly-Evolution-of-the-Purch'!$B:$B,"")</f>
        <v>57.046057189999999</v>
      </c>
      <c r="G444" t="str">
        <f>_xlfn.XLOOKUP(A444,[4]NGDPRSAXDCSAQ_PCH!$A:$A,[5]NGDPRSAXDCSAQ_PCH!$B:$B,"")</f>
        <v/>
      </c>
    </row>
    <row r="445" spans="1:7" x14ac:dyDescent="0.2">
      <c r="A445" s="3">
        <v>45383</v>
      </c>
      <c r="B445" s="2">
        <v>89.938095238095229</v>
      </c>
      <c r="C445" t="e">
        <v>#DIV/0!</v>
      </c>
      <c r="D445">
        <f>_xlfn.XLOOKUP(A445,[1]Sheet2!$C:$C,[1]Sheet2!$B:$B,"")</f>
        <v>101.27026586312351</v>
      </c>
      <c r="E445">
        <f>_xlfn.XLOOKUP(A445,[2]Sheet2!$C:$C,[2]Sheet2!$B:$B,"")</f>
        <v>12394.91</v>
      </c>
      <c r="F445">
        <f>_xlfn.XLOOKUP(A445,'[3]Monthly-Evolution-of-the-Purch'!$C:$C,'[3]Monthly-Evolution-of-the-Purch'!$B:$B,"")</f>
        <v>57.003930629999999</v>
      </c>
      <c r="G445">
        <f>_xlfn.XLOOKUP(A445,[4]NGDPRSAXDCSAQ_PCH!$A:$A,[5]NGDPRSAXDCSAQ_PCH!$B:$B,"")</f>
        <v>1.1132</v>
      </c>
    </row>
    <row r="446" spans="1:7" x14ac:dyDescent="0.2">
      <c r="A446" s="3">
        <v>45413</v>
      </c>
      <c r="B446" s="2">
        <v>81.746190476190492</v>
      </c>
      <c r="C446" t="e">
        <v>#NUM!</v>
      </c>
      <c r="D446">
        <f>_xlfn.XLOOKUP(A446,[1]Sheet2!$C:$C,[1]Sheet2!$B:$B,"")</f>
        <v>101.33887633300161</v>
      </c>
      <c r="E446">
        <f>_xlfn.XLOOKUP(A446,[2]Sheet2!$C:$C,[2]Sheet2!$B:$B,"")</f>
        <v>11503.49</v>
      </c>
      <c r="F446">
        <f>_xlfn.XLOOKUP(A446,'[3]Monthly-Evolution-of-the-Purch'!$C:$C,'[3]Monthly-Evolution-of-the-Purch'!$B:$B,"")</f>
        <v>56.433033940000001</v>
      </c>
      <c r="G446" t="str">
        <f>_xlfn.XLOOKUP(A446,[4]NGDPRSAXDCSAQ_PCH!$A:$A,[5]NGDPRSAXDCSAQ_PCH!$B:$B,"")</f>
        <v/>
      </c>
    </row>
    <row r="447" spans="1:7" x14ac:dyDescent="0.2">
      <c r="A447" s="3">
        <v>45444</v>
      </c>
      <c r="B447" s="2">
        <v>82.246000000000009</v>
      </c>
      <c r="C447">
        <v>1.1179001707313039E-2</v>
      </c>
      <c r="D447">
        <f>_xlfn.XLOOKUP(A447,[1]Sheet2!$C:$C,[1]Sheet2!$B:$B,"")</f>
        <v>101.61948254911229</v>
      </c>
      <c r="E447">
        <f>_xlfn.XLOOKUP(A447,[2]Sheet2!$C:$C,[2]Sheet2!$B:$B,"")</f>
        <v>11679.5</v>
      </c>
      <c r="F447">
        <f>_xlfn.XLOOKUP(A447,'[3]Monthly-Evolution-of-the-Purch'!$C:$C,'[3]Monthly-Evolution-of-the-Purch'!$B:$B,"")</f>
        <v>55.005291900000003</v>
      </c>
      <c r="G447" t="str">
        <f>_xlfn.XLOOKUP(A447,[4]NGDPRSAXDCSAQ_PCH!$A:$A,[5]NGDPRSAXDCSAQ_PCH!$B:$B,"")</f>
        <v/>
      </c>
    </row>
    <row r="448" spans="1:7" x14ac:dyDescent="0.2">
      <c r="A448" s="3">
        <v>45474</v>
      </c>
      <c r="B448" s="2">
        <v>85.153043478260869</v>
      </c>
      <c r="C448">
        <v>1.2171622185512902E-2</v>
      </c>
      <c r="D448">
        <f>_xlfn.XLOOKUP(A448,[1]Sheet2!$C:$C,[1]Sheet2!$B:$B,"")</f>
        <v>101.49897004561718</v>
      </c>
      <c r="E448">
        <f>_xlfn.XLOOKUP(A448,[2]Sheet2!$C:$C,[2]Sheet2!$B:$B,"")</f>
        <v>12109.52</v>
      </c>
      <c r="F448">
        <f>_xlfn.XLOOKUP(A448,'[3]Monthly-Evolution-of-the-Purch'!$C:$C,'[3]Monthly-Evolution-of-the-Purch'!$B:$B,"")</f>
        <v>54.41389358</v>
      </c>
      <c r="G448">
        <f>_xlfn.XLOOKUP(A448,[4]NGDPRSAXDCSAQ_PCH!$A:$A,[5]NGDPRSAXDCSAQ_PCH!$B:$B,"")</f>
        <v>0.77929999999999999</v>
      </c>
    </row>
    <row r="449" spans="1:7" x14ac:dyDescent="0.2">
      <c r="A449" s="3">
        <v>45505</v>
      </c>
      <c r="B449" s="2">
        <v>80.355238095238079</v>
      </c>
      <c r="C449" t="e">
        <v>#NUM!</v>
      </c>
      <c r="D449">
        <f>_xlfn.XLOOKUP(A449,[1]Sheet2!$C:$C,[1]Sheet2!$B:$B,"")</f>
        <v>101.55059868731476</v>
      </c>
      <c r="E449">
        <f>_xlfn.XLOOKUP(A449,[2]Sheet2!$C:$C,[2]Sheet2!$B:$B,"")</f>
        <v>12145.15</v>
      </c>
      <c r="F449">
        <f>_xlfn.XLOOKUP(A449,'[3]Monthly-Evolution-of-the-Purch'!$C:$C,'[3]Monthly-Evolution-of-the-Purch'!$B:$B,"")</f>
        <v>54.841647809999998</v>
      </c>
      <c r="G449" t="str">
        <f>_xlfn.XLOOKUP(A449,[4]NGDPRSAXDCSAQ_PCH!$A:$A,[5]NGDPRSAXDCSAQ_PCH!$B:$B,"")</f>
        <v/>
      </c>
    </row>
    <row r="450" spans="1:7" x14ac:dyDescent="0.2">
      <c r="A450" s="3">
        <v>45536</v>
      </c>
      <c r="B450" s="2">
        <v>74.016666666666666</v>
      </c>
      <c r="C450">
        <v>2.0314629338355247E-2</v>
      </c>
      <c r="D450">
        <f>_xlfn.XLOOKUP(A450,[1]Sheet2!$C:$C,[1]Sheet2!$B:$B,"")</f>
        <v>101.61678170571091</v>
      </c>
      <c r="E450">
        <f>_xlfn.XLOOKUP(A450,[2]Sheet2!$C:$C,[2]Sheet2!$B:$B,"")</f>
        <v>12226.1</v>
      </c>
      <c r="F450">
        <f>_xlfn.XLOOKUP(A450,'[3]Monthly-Evolution-of-the-Purch'!$C:$C,'[3]Monthly-Evolution-of-the-Purch'!$B:$B,"")</f>
        <v>56.34642023</v>
      </c>
      <c r="G450" t="str">
        <f>_xlfn.XLOOKUP(A450,[4]NGDPRSAXDCSAQ_PCH!$A:$A,[5]NGDPRSAXDCSAQ_PCH!$B:$B,"")</f>
        <v/>
      </c>
    </row>
    <row r="451" spans="1:7" x14ac:dyDescent="0.2">
      <c r="A451" s="3">
        <v>45566</v>
      </c>
      <c r="B451" s="2">
        <v>75.632608695652166</v>
      </c>
      <c r="C451">
        <v>2.7025771784787718E-2</v>
      </c>
      <c r="D451">
        <f>_xlfn.XLOOKUP(A451,[1]Sheet2!$C:$C,[1]Sheet2!$B:$B,"")</f>
        <v>101.89811822838681</v>
      </c>
      <c r="E451">
        <f>_xlfn.XLOOKUP(A451,[2]Sheet2!$C:$C,[2]Sheet2!$B:$B,"")</f>
        <v>12022.11</v>
      </c>
      <c r="F451">
        <f>_xlfn.XLOOKUP(A451,'[3]Monthly-Evolution-of-the-Purch'!$C:$C,'[3]Monthly-Evolution-of-the-Purch'!$B:$B,"")</f>
        <v>56.908929819999997</v>
      </c>
      <c r="G451">
        <f>_xlfn.XLOOKUP(A451,[4]NGDPRSAXDCSAQ_PCH!$A:$A,[5]NGDPRSAXDCSAQ_PCH!$B:$B,"")</f>
        <v>1.01447</v>
      </c>
    </row>
    <row r="452" spans="1:7" x14ac:dyDescent="0.2">
      <c r="A452" s="3">
        <v>45597</v>
      </c>
      <c r="B452" s="2">
        <v>74.345238095238102</v>
      </c>
      <c r="C452">
        <v>1.3950071479240343E-2</v>
      </c>
      <c r="D452">
        <f>_xlfn.XLOOKUP(A452,[1]Sheet2!$C:$C,[1]Sheet2!$B:$B,"")</f>
        <v>102.25280138818044</v>
      </c>
      <c r="E452">
        <f>_xlfn.XLOOKUP(A452,[2]Sheet2!$C:$C,[2]Sheet2!$B:$B,"")</f>
        <v>11641.31</v>
      </c>
      <c r="F452">
        <f>_xlfn.XLOOKUP(A452,'[3]Monthly-Evolution-of-the-Purch'!$C:$C,'[3]Monthly-Evolution-of-the-Purch'!$B:$B,"")</f>
        <v>58.998395840000001</v>
      </c>
      <c r="G452" t="str">
        <f>_xlfn.XLOOKUP(A452,[4]NGDPRSAXDCSAQ_PCH!$A:$A,[5]NGDPRSAXDCSAQ_PCH!$B:$B,"")</f>
        <v/>
      </c>
    </row>
    <row r="453" spans="1:7" x14ac:dyDescent="0.2">
      <c r="A453" s="3">
        <v>45627</v>
      </c>
      <c r="B453" s="2">
        <v>73.859499999999997</v>
      </c>
      <c r="C453" t="e">
        <v>#NUM!</v>
      </c>
      <c r="D453">
        <f>_xlfn.XLOOKUP(A453,[1]Sheet2!$C:$C,[1]Sheet2!$B:$B,"")</f>
        <v>102.19930788094609</v>
      </c>
      <c r="E453">
        <f>_xlfn.XLOOKUP(A453,[2]Sheet2!$C:$C,[2]Sheet2!$B:$B,"")</f>
        <v>12036.5</v>
      </c>
      <c r="F453">
        <f>_xlfn.XLOOKUP(A453,'[3]Monthly-Evolution-of-the-Purch'!$C:$C,'[3]Monthly-Evolution-of-the-Purch'!$B:$B,"")</f>
        <v>58.443854214641249</v>
      </c>
      <c r="G453" t="str">
        <f>_xlfn.XLOOKUP(A453,[4]NGDPRSAXDCSAQ_PCH!$A:$A,[5]NGDPRSAXDCSAQ_PCH!$B:$B,"")</f>
        <v/>
      </c>
    </row>
    <row r="454" spans="1:7" x14ac:dyDescent="0.2">
      <c r="A454" s="3">
        <v>45658</v>
      </c>
      <c r="B454" s="2">
        <v>79.270454545454541</v>
      </c>
      <c r="C454" t="e">
        <v>#DIV/0!</v>
      </c>
      <c r="D454">
        <f>_xlfn.XLOOKUP(A454,[1]Sheet2!$C:$C,[1]Sheet2!$B:$B,"")</f>
        <v>102.60493324198768</v>
      </c>
      <c r="E454">
        <f>_xlfn.XLOOKUP(A454,[2]Sheet2!$C:$C,[2]Sheet2!$B:$B,"")</f>
        <v>12415.49</v>
      </c>
      <c r="F454">
        <f>_xlfn.XLOOKUP(A454,'[3]Monthly-Evolution-of-the-Purch'!$C:$C,'[3]Monthly-Evolution-of-the-Purch'!$B:$B,"")</f>
        <v>60.476047128141083</v>
      </c>
      <c r="G454">
        <f>_xlfn.XLOOKUP(A454,[4]NGDPRSAXDCSAQ_PCH!$A:$A,[5]NGDPRSAXDCSAQ_PCH!$B:$B,"")</f>
        <v>0.59584000000000004</v>
      </c>
    </row>
    <row r="455" spans="1:7" x14ac:dyDescent="0.2">
      <c r="A455" s="3">
        <v>45689</v>
      </c>
      <c r="B455" s="2">
        <v>75.438000000000002</v>
      </c>
      <c r="C455">
        <v>1.59620877562596E-2</v>
      </c>
      <c r="D455">
        <f>_xlfn.XLOOKUP(A455,[1]Sheet2!$C:$C,[1]Sheet2!$B:$B,"")</f>
        <v>102.71732594005799</v>
      </c>
      <c r="E455">
        <f>_xlfn.XLOOKUP(A455,[2]Sheet2!$C:$C,[2]Sheet2!$B:$B,"")</f>
        <v>12111.9</v>
      </c>
      <c r="F455">
        <f>_xlfn.XLOOKUP(A455,'[3]Monthly-Evolution-of-the-Purch'!$C:$C,'[3]Monthly-Evolution-of-the-Purch'!$B:$B,"")</f>
        <v>58.417668467550861</v>
      </c>
      <c r="G455" t="str">
        <f>_xlfn.XLOOKUP(A455,[4]NGDPRSAXDCSAQ_PCH!$A:$A,[5]NGDPRSAXDCSAQ_PCH!$B:$B,"")</f>
        <v/>
      </c>
    </row>
    <row r="456" spans="1:7" x14ac:dyDescent="0.2">
      <c r="A456" s="3">
        <v>45717</v>
      </c>
      <c r="B456" s="2">
        <v>72.732857142857142</v>
      </c>
      <c r="C456">
        <v>1.341577674317466E-2</v>
      </c>
      <c r="D456">
        <f>_xlfn.XLOOKUP(A456,[1]Sheet2!$C:$C,[1]Sheet2!$B:$B,"")</f>
        <v>102.9580468610375</v>
      </c>
      <c r="E456">
        <f>_xlfn.XLOOKUP(A456,[2]Sheet2!$C:$C,[2]Sheet2!$B:$B,"")</f>
        <v>12025.05</v>
      </c>
      <c r="F456">
        <f>_xlfn.XLOOKUP(A456,'[3]Monthly-Evolution-of-the-Purch'!$C:$C,'[3]Monthly-Evolution-of-the-Purch'!$B:$B,"")</f>
        <v>58.084093196499197</v>
      </c>
      <c r="G456" t="str">
        <f>_xlfn.XLOOKUP(A456,[4]NGDPRSAXDCSAQ_PCH!$A:$A,[5]NGDPRSAXDCSAQ_PCH!$B:$B,"")</f>
        <v/>
      </c>
    </row>
    <row r="457" spans="1:7" x14ac:dyDescent="0.2">
      <c r="A457" s="3">
        <v>45748</v>
      </c>
      <c r="B457" s="2">
        <v>68.134500000000003</v>
      </c>
      <c r="C457" t="e">
        <v>#NUM!</v>
      </c>
      <c r="D457">
        <f>_xlfn.XLOOKUP(A457,[1]Sheet2!$C:$C,[1]Sheet2!$B:$B,"")</f>
        <v>103.34829705670529</v>
      </c>
      <c r="E457">
        <f>_xlfn.XLOOKUP(A457,[2]Sheet2!$C:$C,[2]Sheet2!$B:$B,"")</f>
        <v>11671.58</v>
      </c>
      <c r="F457">
        <f>_xlfn.XLOOKUP(A457,'[3]Monthly-Evolution-of-the-Purch'!$C:$C,'[3]Monthly-Evolution-of-the-Purch'!$B:$B,"")</f>
        <v>55.614283442460085</v>
      </c>
      <c r="G457">
        <f>_xlfn.XLOOKUP(A457,[4]NGDPRSAXDCSAQ_PCH!$A:$A,[5]NGDPRSAXDCSAQ_PCH!$B:$B,"")</f>
        <v>1.9012100000000001</v>
      </c>
    </row>
    <row r="458" spans="1:7" x14ac:dyDescent="0.2">
      <c r="A458" s="3">
        <v>45778</v>
      </c>
      <c r="B458" s="2">
        <v>64.453000000000003</v>
      </c>
      <c r="C458" t="e">
        <v>#NUM!</v>
      </c>
      <c r="D458">
        <f>_xlfn.XLOOKUP(A458,[1]Sheet2!$C:$C,[1]Sheet2!$B:$B,"")</f>
        <v>103.4611339244706</v>
      </c>
      <c r="E458">
        <f>_xlfn.XLOOKUP(A458,[2]Sheet2!$C:$C,[2]Sheet2!$B:$B,"")</f>
        <v>10990.41</v>
      </c>
      <c r="F458">
        <f>_xlfn.XLOOKUP(A458,'[3]Monthly-Evolution-of-the-Purch'!$C:$C,'[3]Monthly-Evolution-of-the-Purch'!$B:$B,"")</f>
        <v>55.788429700752765</v>
      </c>
      <c r="G458" t="str">
        <f>_xlfn.XLOOKUP(A458,[4]NGDPRSAXDCSAQ_PCH!$A:$A,[5]NGDPRSAXDCSAQ_PCH!$B:$B,"")</f>
        <v/>
      </c>
    </row>
    <row r="459" spans="1:7" x14ac:dyDescent="0.2">
      <c r="A459" s="3">
        <v>45809</v>
      </c>
      <c r="B459" s="2">
        <v>71.444761904761918</v>
      </c>
      <c r="C459">
        <v>3.1645962826896641E-2</v>
      </c>
      <c r="D459">
        <f>_xlfn.XLOOKUP(A459,[1]Sheet2!$C:$C,[1]Sheet2!$B:$B,"")</f>
        <v>103.6288578634317</v>
      </c>
      <c r="E459">
        <f>_xlfn.XLOOKUP(A459,[2]Sheet2!$C:$C,[2]Sheet2!$B:$B,"")</f>
        <v>11163.96</v>
      </c>
      <c r="F459">
        <f>_xlfn.XLOOKUP(A459,'[3]Monthly-Evolution-of-the-Purch'!$C:$C,'[3]Monthly-Evolution-of-the-Purch'!$B:$B,"")</f>
        <v>57.158906717461207</v>
      </c>
      <c r="G459" t="str">
        <f>_xlfn.XLOOKUP(A459,[4]NGDPRSAXDCSAQ_PCH!$A:$A,[5]NGDPRSAXDCSAQ_PCH!$B:$B,"")</f>
        <v/>
      </c>
    </row>
    <row r="460" spans="1:7" x14ac:dyDescent="0.2">
      <c r="A460" s="3">
        <v>45839</v>
      </c>
      <c r="B460" s="2">
        <v>71.041304347826113</v>
      </c>
      <c r="C460">
        <v>2.0891126220790292E-2</v>
      </c>
      <c r="D460">
        <f>_xlfn.XLOOKUP(A460,[1]Sheet2!$C:$C,[1]Sheet2!$B:$B,"")</f>
        <v>103.75108087608791</v>
      </c>
      <c r="E460">
        <f>_xlfn.XLOOKUP(A460,[2]Sheet2!$C:$C,[2]Sheet2!$B:$B,"")</f>
        <v>10920.27</v>
      </c>
      <c r="F460">
        <f>_xlfn.XLOOKUP(A460,'[3]Monthly-Evolution-of-the-Purch'!$C:$C,'[3]Monthly-Evolution-of-the-Purch'!$B:$B,"")</f>
        <v>56.321647472176693</v>
      </c>
      <c r="G460">
        <f>_xlfn.XLOOKUP(A460,[4]NGDPRSAXDCSAQ_PCH!$A:$A,[5]NGDPRSAXDCSAQ_PCH!$B:$B,"")</f>
        <v>1.2399500000000001</v>
      </c>
    </row>
    <row r="461" spans="1:7" x14ac:dyDescent="0.2">
      <c r="A461" s="3">
        <v>45870</v>
      </c>
      <c r="B461" s="2">
        <v>67.87</v>
      </c>
      <c r="C461" t="e">
        <v>#NUM!</v>
      </c>
      <c r="D461">
        <f>_xlfn.XLOOKUP(A461,[1]Sheet2!$C:$C,[1]Sheet2!$B:$B,"")</f>
        <v>103.89493796703111</v>
      </c>
      <c r="E461">
        <f>_xlfn.XLOOKUP(A461,[2]Sheet2!$C:$C,[2]Sheet2!$B:$B,"")</f>
        <v>10696.89</v>
      </c>
      <c r="F461">
        <f>_xlfn.XLOOKUP(A461,'[3]Monthly-Evolution-of-the-Purch'!$C:$C,'[3]Monthly-Evolution-of-the-Purch'!$B:$B,"")</f>
        <v>56.425495038961813</v>
      </c>
      <c r="G461" t="str">
        <f>_xlfn.XLOOKUP(A461,[4]NGDPRSAXDCSAQ_PCH!$A:$A,[5]NGDPRSAXDCSAQ_PCH!$B:$B,"")</f>
        <v/>
      </c>
    </row>
    <row r="462" spans="1:7" x14ac:dyDescent="0.2">
      <c r="A462" s="3">
        <v>45901</v>
      </c>
      <c r="B462" s="2">
        <v>67.985454545454559</v>
      </c>
      <c r="C462">
        <v>1.8144939548433957E-2</v>
      </c>
      <c r="D462">
        <f>_xlfn.XLOOKUP(A462,[1]Sheet2!$C:$C,[1]Sheet2!$B:$B,"")</f>
        <v>103.83056832913979</v>
      </c>
      <c r="E462">
        <f>_xlfn.XLOOKUP(A462,[2]Sheet2!$C:$C,[2]Sheet2!$B:$B,"")</f>
        <v>11502.97</v>
      </c>
      <c r="F462">
        <f>_xlfn.XLOOKUP(A462,'[3]Monthly-Evolution-of-the-Purch'!$C:$C,'[3]Monthly-Evolution-of-the-Purch'!$B:$B,"")</f>
        <v>57.776790342579197</v>
      </c>
      <c r="G462" t="str">
        <f>_xlfn.XLOOKUP(A462,[4]NGDPRSAXDCSAQ_PCH!$A:$A,[5]NGDPRSAXDCSAQ_PCH!$B:$B,"")</f>
        <v/>
      </c>
    </row>
    <row r="463" spans="1:7" x14ac:dyDescent="0.2">
      <c r="A463" s="3">
        <v>45931</v>
      </c>
      <c r="B463" s="2">
        <v>64.543478260869563</v>
      </c>
      <c r="C463">
        <v>1.9967375656961595E-2</v>
      </c>
      <c r="D463">
        <f>_xlfn.XLOOKUP(A463,[1]Sheet2!$C:$C,[1]Sheet2!$B:$B,"")</f>
        <v>104.1227141910604</v>
      </c>
      <c r="E463">
        <f>_xlfn.XLOOKUP(A463,[2]Sheet2!$C:$C,[2]Sheet2!$B:$B,"")</f>
        <v>11655.85</v>
      </c>
      <c r="F463">
        <f>_xlfn.XLOOKUP(A463,'[3]Monthly-Evolution-of-the-Purch'!$C:$C,'[3]Monthly-Evolution-of-the-Purch'!$B:$B,"")</f>
        <v>60.151615136424894</v>
      </c>
      <c r="G463">
        <f>_xlfn.XLOOKUP(A463,[4]NGDPRSAXDCSAQ_PCH!$A:$A,[5]NGDPRSAXDCSAQ_PCH!$B:$B,"")</f>
        <v>1.41482</v>
      </c>
    </row>
    <row r="464" spans="1:7" x14ac:dyDescent="0.2">
      <c r="A464" s="3">
        <v>45962</v>
      </c>
      <c r="B464" s="2">
        <v>63.79699999999999</v>
      </c>
      <c r="C464">
        <v>1.6369791008934136E-2</v>
      </c>
      <c r="D464">
        <f>_xlfn.XLOOKUP(A464,[1]Sheet2!$C:$C,[1]Sheet2!$B:$B,"")</f>
        <v>104.19671973460208</v>
      </c>
      <c r="E464">
        <f>_xlfn.XLOOKUP(A464,[2]Sheet2!$C:$C,[2]Sheet2!$B:$B,"")</f>
        <v>10590.88</v>
      </c>
      <c r="F464">
        <f>_xlfn.XLOOKUP(A464,'[3]Monthly-Evolution-of-the-Purch'!$C:$C,'[3]Monthly-Evolution-of-the-Purch'!$B:$B,"")</f>
        <v>58.516073561076155</v>
      </c>
      <c r="G464" t="str">
        <f>_xlfn.XLOOKUP(A464,[4]NGDPRSAXDCSAQ_PCH!$A:$A,[5]NGDPRSAXDCSAQ_PCH!$B:$B,"")</f>
        <v/>
      </c>
    </row>
    <row r="465" spans="1:7" x14ac:dyDescent="0.2">
      <c r="A465" s="3">
        <v>45992</v>
      </c>
      <c r="B465" s="2">
        <v>62.544285714285706</v>
      </c>
      <c r="C465" t="e">
        <v>#NUM!</v>
      </c>
      <c r="D465">
        <f>_xlfn.XLOOKUP(A465,[1]Sheet2!$C:$C,[1]Sheet2!$B:$B,"")</f>
        <v>104.30413516908848</v>
      </c>
      <c r="E465">
        <f>_xlfn.XLOOKUP(A465,[2]Sheet2!$C:$C,[2]Sheet2!$B:$B,"")</f>
        <v>10490.69</v>
      </c>
      <c r="F465">
        <f>_xlfn.XLOOKUP(A465,'[3]Monthly-Evolution-of-the-Purch'!$C:$C,'[3]Monthly-Evolution-of-the-Purch'!$B:$B,"")</f>
        <v>57.431283276854224</v>
      </c>
      <c r="G465" t="str">
        <f>_xlfn.XLOOKUP(A465,[4]NGDPRSAXDCSAQ_PCH!$A:$A,[5]NGDPRSAXDCSAQ_PCH!$B:$B,"")</f>
        <v/>
      </c>
    </row>
    <row r="466" spans="1:7" x14ac:dyDescent="0.2">
      <c r="A466" s="3">
        <v>46023</v>
      </c>
      <c r="B466" s="2">
        <v>66.602380952380969</v>
      </c>
      <c r="C466" t="e">
        <v>#DIV/0!</v>
      </c>
      <c r="D466">
        <f>_xlfn.XLOOKUP(A466,[1]Sheet2!$C:$C,[1]Sheet2!$B:$B,"")</f>
        <v>104.46686567464688</v>
      </c>
      <c r="E466">
        <f>_xlfn.XLOOKUP(A466,[2]Sheet2!$C:$C,[2]Sheet2!$B:$B,"")</f>
        <v>11382.08</v>
      </c>
      <c r="F466">
        <f>_xlfn.XLOOKUP(A466,'[3]Monthly-Evolution-of-the-Purch'!$C:$C,'[3]Monthly-Evolution-of-the-Purch'!$B:$B,"")</f>
        <v>56.339596029425749</v>
      </c>
      <c r="G466" t="str">
        <f>_xlfn.XLOOKUP(A466,[4]NGDPRSAXDCSAQ_PCH!$A:$A,[5]NGDPRSAXDCSAQ_PCH!$B:$B,"")</f>
        <v/>
      </c>
    </row>
    <row r="467" spans="1:7" x14ac:dyDescent="0.2">
      <c r="A467" s="3">
        <v>46054</v>
      </c>
      <c r="B467" s="2">
        <v>70.887000000000015</v>
      </c>
      <c r="C467">
        <v>2.3042907705474111E-2</v>
      </c>
      <c r="D467">
        <f>_xlfn.XLOOKUP(A467,[1]Sheet2!$C:$C,[1]Sheet2!$B:$B,"")</f>
        <v>104.5039236934589</v>
      </c>
      <c r="E467">
        <f>_xlfn.XLOOKUP(A467,[2]Sheet2!$C:$C,[2]Sheet2!$B:$B,"")</f>
        <v>10709.04</v>
      </c>
      <c r="F467">
        <f>_xlfn.XLOOKUP(A467,'[3]Monthly-Evolution-of-the-Purch'!$C:$C,'[3]Monthly-Evolution-of-the-Purch'!$B:$B,"")</f>
        <v>56.064385636413249</v>
      </c>
      <c r="G467" t="str">
        <f>_xlfn.XLOOKUP(A467,[4]NGDPRSAXDCSAQ_PCH!$A:$A,[5]NGDPRSAXDCSAQ_PCH!$B:$B,"")</f>
        <v/>
      </c>
    </row>
    <row r="468" spans="1:7" x14ac:dyDescent="0.2">
      <c r="A468" s="3">
        <v>46082</v>
      </c>
      <c r="B468" s="2">
        <v>103.13454545454547</v>
      </c>
      <c r="C468">
        <v>6.0987458046740529E-2</v>
      </c>
      <c r="D468">
        <f>_xlfn.XLOOKUP(A468,[1]Sheet2!$C:$C,[1]Sheet2!$B:$B,"")</f>
        <v>104.80833862276079</v>
      </c>
      <c r="E468">
        <f>_xlfn.XLOOKUP(A468,[2]Sheet2!$C:$C,[2]Sheet2!$B:$B,"")</f>
        <v>11249.54</v>
      </c>
      <c r="F468">
        <f>_xlfn.XLOOKUP(A468,'[3]Monthly-Evolution-of-the-Purch'!$C:$C,'[3]Monthly-Evolution-of-the-Purch'!$B:$B,"")</f>
        <v>48.81940873978629</v>
      </c>
      <c r="G468" t="str">
        <f>_xlfn.XLOOKUP(A468,[4]NGDPRSAXDCSAQ_PCH!$A:$A,[5]NGDPRSAXDCSAQ_PCH!$B:$B,"")</f>
        <v/>
      </c>
    </row>
    <row r="469" spans="1:7" x14ac:dyDescent="0.2">
      <c r="A469" s="3">
        <v>46113</v>
      </c>
      <c r="B469" s="2">
        <v>117.28749999999999</v>
      </c>
      <c r="C469" t="e">
        <v>#NUM!</v>
      </c>
      <c r="D469" t="str">
        <f>_xlfn.XLOOKUP(A469,[1]Sheet2!$C:$C,[1]Sheet2!$B:$B,"")</f>
        <v/>
      </c>
      <c r="E469">
        <f>_xlfn.XLOOKUP(A469,[2]Sheet2!$C:$C,[2]Sheet2!$B:$B,"")</f>
        <v>11187.66</v>
      </c>
      <c r="F469">
        <f>_xlfn.XLOOKUP(A469,'[3]Monthly-Evolution-of-the-Purch'!$C:$C,'[3]Monthly-Evolution-of-the-Purch'!$B:$B,"")</f>
        <v>51.452408736189355</v>
      </c>
      <c r="G469" t="str">
        <f>_xlfn.XLOOKUP(A469,[4]NGDPRSAXDCSAQ_PCH!$A:$A,[5]NGDPRSAXDCSAQ_PCH!$B:$B,"")</f>
        <v/>
      </c>
    </row>
    <row r="470" spans="1:7" x14ac:dyDescent="0.2">
      <c r="A470" s="3">
        <v>46143</v>
      </c>
      <c r="B470" s="2">
        <v>118.26</v>
      </c>
      <c r="C470" t="e">
        <v>#NUM!</v>
      </c>
      <c r="D470" t="str">
        <f>_xlfn.XLOOKUP(A470,[1]Sheet2!$C:$C,[1]Sheet2!$B:$B,"")</f>
        <v/>
      </c>
      <c r="E470" t="str">
        <f>_xlfn.XLOOKUP(A470,[2]Sheet2!$C:$C,[2]Sheet2!$B:$B,"")</f>
        <v/>
      </c>
      <c r="F470" t="str">
        <f>_xlfn.XLOOKUP(A470,'[3]Monthly-Evolution-of-the-Purch'!$C:$C,'[3]Monthly-Evolution-of-the-Purch'!$B:$B,"")</f>
        <v/>
      </c>
      <c r="G470" t="str">
        <f>_xlfn.XLOOKUP(A470,[4]NGDPRSAXDCSAQ_PCH!$A:$A,[5]NGDPRSAXDCSAQ_PCH!$B:$B,"")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2029-67D3-1A46-B960-31ECF4FEBA7B}">
  <dimension ref="A1:C148"/>
  <sheetViews>
    <sheetView workbookViewId="0">
      <selection activeCell="B1" sqref="B1"/>
    </sheetView>
  </sheetViews>
  <sheetFormatPr baseColWidth="10" defaultRowHeight="16" x14ac:dyDescent="0.2"/>
  <cols>
    <col min="1" max="1" width="14.5" customWidth="1"/>
    <col min="2" max="2" width="22.83203125" customWidth="1"/>
  </cols>
  <sheetData>
    <row r="1" spans="1:3" x14ac:dyDescent="0.2">
      <c r="A1" t="s">
        <v>4</v>
      </c>
      <c r="B1" t="s">
        <v>3</v>
      </c>
      <c r="C1" t="s">
        <v>0</v>
      </c>
    </row>
    <row r="2" spans="1:3" x14ac:dyDescent="0.2">
      <c r="A2" t="s">
        <v>5</v>
      </c>
      <c r="B2">
        <v>85.583427565206151</v>
      </c>
      <c r="C2" s="1">
        <f>DATE(LEFT(A2,4),RIGHT(A2,2),1)</f>
        <v>41640</v>
      </c>
    </row>
    <row r="3" spans="1:3" x14ac:dyDescent="0.2">
      <c r="A3" t="s">
        <v>6</v>
      </c>
      <c r="B3">
        <v>85.717801119635709</v>
      </c>
      <c r="C3" s="1">
        <f t="shared" ref="C3:C66" si="0">DATE(LEFT(A3,4),RIGHT(A3,2),1)</f>
        <v>41671</v>
      </c>
    </row>
    <row r="4" spans="1:3" x14ac:dyDescent="0.2">
      <c r="A4" t="s">
        <v>7</v>
      </c>
      <c r="B4">
        <v>85.740227494860989</v>
      </c>
      <c r="C4" s="1">
        <f t="shared" si="0"/>
        <v>41699</v>
      </c>
    </row>
    <row r="5" spans="1:3" x14ac:dyDescent="0.2">
      <c r="A5" t="s">
        <v>8</v>
      </c>
      <c r="B5">
        <v>86.122053764656826</v>
      </c>
      <c r="C5" s="1">
        <f t="shared" si="0"/>
        <v>41730</v>
      </c>
    </row>
    <row r="6" spans="1:3" x14ac:dyDescent="0.2">
      <c r="A6" t="s">
        <v>9</v>
      </c>
      <c r="B6">
        <v>86.136204011462283</v>
      </c>
      <c r="C6" s="1">
        <f t="shared" si="0"/>
        <v>41760</v>
      </c>
    </row>
    <row r="7" spans="1:3" x14ac:dyDescent="0.2">
      <c r="A7" t="s">
        <v>10</v>
      </c>
      <c r="B7">
        <v>86.199525212496795</v>
      </c>
      <c r="C7" s="1">
        <f t="shared" si="0"/>
        <v>41791</v>
      </c>
    </row>
    <row r="8" spans="1:3" x14ac:dyDescent="0.2">
      <c r="A8" t="s">
        <v>11</v>
      </c>
      <c r="B8">
        <v>86.457724837102887</v>
      </c>
      <c r="C8" s="1">
        <f t="shared" si="0"/>
        <v>41821</v>
      </c>
    </row>
    <row r="9" spans="1:3" x14ac:dyDescent="0.2">
      <c r="A9" t="s">
        <v>12</v>
      </c>
      <c r="B9">
        <v>86.553065740393336</v>
      </c>
      <c r="C9" s="1">
        <f t="shared" si="0"/>
        <v>41852</v>
      </c>
    </row>
    <row r="10" spans="1:3" x14ac:dyDescent="0.2">
      <c r="A10" t="s">
        <v>13</v>
      </c>
      <c r="B10">
        <v>86.601983695189887</v>
      </c>
      <c r="C10" s="1">
        <f t="shared" si="0"/>
        <v>41883</v>
      </c>
    </row>
    <row r="11" spans="1:3" x14ac:dyDescent="0.2">
      <c r="A11" t="s">
        <v>14</v>
      </c>
      <c r="B11">
        <v>86.668478611670565</v>
      </c>
      <c r="C11" s="1">
        <f t="shared" si="0"/>
        <v>41913</v>
      </c>
    </row>
    <row r="12" spans="1:3" x14ac:dyDescent="0.2">
      <c r="A12" t="s">
        <v>15</v>
      </c>
      <c r="B12">
        <v>86.822990296600707</v>
      </c>
      <c r="C12" s="1">
        <f t="shared" si="0"/>
        <v>41944</v>
      </c>
    </row>
    <row r="13" spans="1:3" x14ac:dyDescent="0.2">
      <c r="A13" t="s">
        <v>16</v>
      </c>
      <c r="B13">
        <v>86.850328450048409</v>
      </c>
      <c r="C13" s="1">
        <f t="shared" si="0"/>
        <v>41974</v>
      </c>
    </row>
    <row r="14" spans="1:3" x14ac:dyDescent="0.2">
      <c r="A14" t="s">
        <v>17</v>
      </c>
      <c r="B14">
        <v>87.024500538181684</v>
      </c>
      <c r="C14" s="1">
        <f t="shared" si="0"/>
        <v>42005</v>
      </c>
    </row>
    <row r="15" spans="1:3" x14ac:dyDescent="0.2">
      <c r="A15" t="s">
        <v>18</v>
      </c>
      <c r="B15">
        <v>86.915167582210728</v>
      </c>
      <c r="C15" s="1">
        <f t="shared" si="0"/>
        <v>42036</v>
      </c>
    </row>
    <row r="16" spans="1:3" x14ac:dyDescent="0.2">
      <c r="A16" t="s">
        <v>19</v>
      </c>
      <c r="B16">
        <v>87.048015920943811</v>
      </c>
      <c r="C16" s="1">
        <f t="shared" si="0"/>
        <v>42064</v>
      </c>
    </row>
    <row r="17" spans="1:3" x14ac:dyDescent="0.2">
      <c r="A17" t="s">
        <v>20</v>
      </c>
      <c r="B17">
        <v>87.074091643470723</v>
      </c>
      <c r="C17" s="1">
        <f t="shared" si="0"/>
        <v>42095</v>
      </c>
    </row>
    <row r="18" spans="1:3" x14ac:dyDescent="0.2">
      <c r="A18" t="s">
        <v>21</v>
      </c>
      <c r="B18">
        <v>87.244082520137837</v>
      </c>
      <c r="C18" s="1">
        <f t="shared" si="0"/>
        <v>42125</v>
      </c>
    </row>
    <row r="19" spans="1:3" x14ac:dyDescent="0.2">
      <c r="A19" t="s">
        <v>22</v>
      </c>
      <c r="B19">
        <v>87.313401923642672</v>
      </c>
      <c r="C19" s="1">
        <f t="shared" si="0"/>
        <v>42156</v>
      </c>
    </row>
    <row r="20" spans="1:3" x14ac:dyDescent="0.2">
      <c r="A20" t="s">
        <v>23</v>
      </c>
      <c r="B20">
        <v>87.398758713984861</v>
      </c>
      <c r="C20" s="1">
        <f t="shared" si="0"/>
        <v>42186</v>
      </c>
    </row>
    <row r="21" spans="1:3" x14ac:dyDescent="0.2">
      <c r="A21" t="s">
        <v>24</v>
      </c>
      <c r="B21">
        <v>87.353128640398808</v>
      </c>
      <c r="C21" s="1">
        <f t="shared" si="0"/>
        <v>42217</v>
      </c>
    </row>
    <row r="22" spans="1:3" x14ac:dyDescent="0.2">
      <c r="A22" t="s">
        <v>25</v>
      </c>
      <c r="B22">
        <v>87.394790859141082</v>
      </c>
      <c r="C22" s="1">
        <f t="shared" si="0"/>
        <v>42248</v>
      </c>
    </row>
    <row r="23" spans="1:3" x14ac:dyDescent="0.2">
      <c r="A23" t="s">
        <v>26</v>
      </c>
      <c r="B23">
        <v>87.560938491583983</v>
      </c>
      <c r="C23" s="1">
        <f t="shared" si="0"/>
        <v>42278</v>
      </c>
    </row>
    <row r="24" spans="1:3" x14ac:dyDescent="0.2">
      <c r="A24" t="s">
        <v>27</v>
      </c>
      <c r="B24">
        <v>87.679641543943717</v>
      </c>
      <c r="C24" s="1">
        <f t="shared" si="0"/>
        <v>42309</v>
      </c>
    </row>
    <row r="25" spans="1:3" x14ac:dyDescent="0.2">
      <c r="A25" t="s">
        <v>28</v>
      </c>
      <c r="B25">
        <v>87.706557052364815</v>
      </c>
      <c r="C25" s="1">
        <f t="shared" si="0"/>
        <v>42339</v>
      </c>
    </row>
    <row r="26" spans="1:3" x14ac:dyDescent="0.2">
      <c r="A26" t="s">
        <v>29</v>
      </c>
      <c r="B26">
        <v>89.859149753427687</v>
      </c>
      <c r="C26" s="1">
        <f t="shared" si="0"/>
        <v>42370</v>
      </c>
    </row>
    <row r="27" spans="1:3" x14ac:dyDescent="0.2">
      <c r="A27" t="s">
        <v>30</v>
      </c>
      <c r="B27">
        <v>89.959437235891045</v>
      </c>
      <c r="C27" s="1">
        <f t="shared" si="0"/>
        <v>42401</v>
      </c>
    </row>
    <row r="28" spans="1:3" x14ac:dyDescent="0.2">
      <c r="A28" t="s">
        <v>31</v>
      </c>
      <c r="B28">
        <v>89.970162646458121</v>
      </c>
      <c r="C28" s="1">
        <f t="shared" si="0"/>
        <v>42430</v>
      </c>
    </row>
    <row r="29" spans="1:3" x14ac:dyDescent="0.2">
      <c r="A29" t="s">
        <v>32</v>
      </c>
      <c r="B29">
        <v>90.052795501062718</v>
      </c>
      <c r="C29" s="1">
        <f t="shared" si="0"/>
        <v>42461</v>
      </c>
    </row>
    <row r="30" spans="1:3" x14ac:dyDescent="0.2">
      <c r="A30" t="s">
        <v>33</v>
      </c>
      <c r="B30">
        <v>89.958779906255145</v>
      </c>
      <c r="C30" s="1">
        <f t="shared" si="0"/>
        <v>42491</v>
      </c>
    </row>
    <row r="31" spans="1:3" x14ac:dyDescent="0.2">
      <c r="A31" t="s">
        <v>34</v>
      </c>
      <c r="B31">
        <v>89.944786600549193</v>
      </c>
      <c r="C31" s="1">
        <f t="shared" si="0"/>
        <v>42522</v>
      </c>
    </row>
    <row r="32" spans="1:3" x14ac:dyDescent="0.2">
      <c r="A32" t="s">
        <v>35</v>
      </c>
      <c r="B32">
        <v>90.055297206588492</v>
      </c>
      <c r="C32" s="1">
        <f t="shared" si="0"/>
        <v>42552</v>
      </c>
    </row>
    <row r="33" spans="1:3" x14ac:dyDescent="0.2">
      <c r="A33" t="s">
        <v>36</v>
      </c>
      <c r="B33">
        <v>89.87738270064024</v>
      </c>
      <c r="C33" s="1">
        <f t="shared" si="0"/>
        <v>42583</v>
      </c>
    </row>
    <row r="34" spans="1:3" x14ac:dyDescent="0.2">
      <c r="A34" t="s">
        <v>37</v>
      </c>
      <c r="B34">
        <v>89.931262720555637</v>
      </c>
      <c r="C34" s="1">
        <f t="shared" si="0"/>
        <v>42614</v>
      </c>
    </row>
    <row r="35" spans="1:3" x14ac:dyDescent="0.2">
      <c r="A35" t="s">
        <v>38</v>
      </c>
      <c r="B35">
        <v>89.841283317164283</v>
      </c>
      <c r="C35" s="1">
        <f t="shared" si="0"/>
        <v>42644</v>
      </c>
    </row>
    <row r="36" spans="1:3" x14ac:dyDescent="0.2">
      <c r="A36" t="s">
        <v>39</v>
      </c>
      <c r="B36">
        <v>89.517965274165661</v>
      </c>
      <c r="C36" s="1">
        <f t="shared" si="0"/>
        <v>42675</v>
      </c>
    </row>
    <row r="37" spans="1:3" x14ac:dyDescent="0.2">
      <c r="A37" t="s">
        <v>40</v>
      </c>
      <c r="B37">
        <v>89.302124196502064</v>
      </c>
      <c r="C37" s="1">
        <f t="shared" si="0"/>
        <v>42705</v>
      </c>
    </row>
    <row r="38" spans="1:3" x14ac:dyDescent="0.2">
      <c r="A38" t="s">
        <v>41</v>
      </c>
      <c r="B38">
        <v>89.229000962442981</v>
      </c>
      <c r="C38" s="1">
        <f t="shared" si="0"/>
        <v>42736</v>
      </c>
    </row>
    <row r="39" spans="1:3" x14ac:dyDescent="0.2">
      <c r="A39" t="s">
        <v>42</v>
      </c>
      <c r="B39">
        <v>89.388938122721399</v>
      </c>
      <c r="C39" s="1">
        <f t="shared" si="0"/>
        <v>42767</v>
      </c>
    </row>
    <row r="40" spans="1:3" x14ac:dyDescent="0.2">
      <c r="A40" t="s">
        <v>43</v>
      </c>
      <c r="B40">
        <v>89.265237019951442</v>
      </c>
      <c r="C40" s="1">
        <f t="shared" si="0"/>
        <v>42795</v>
      </c>
    </row>
    <row r="41" spans="1:3" x14ac:dyDescent="0.2">
      <c r="A41" t="s">
        <v>44</v>
      </c>
      <c r="B41">
        <v>89.318882971073009</v>
      </c>
      <c r="C41" s="1">
        <f t="shared" si="0"/>
        <v>42826</v>
      </c>
    </row>
    <row r="42" spans="1:3" x14ac:dyDescent="0.2">
      <c r="A42" t="s">
        <v>45</v>
      </c>
      <c r="B42">
        <v>89.286495789471232</v>
      </c>
      <c r="C42" s="1">
        <f t="shared" si="0"/>
        <v>42856</v>
      </c>
    </row>
    <row r="43" spans="1:3" x14ac:dyDescent="0.2">
      <c r="A43" t="s">
        <v>46</v>
      </c>
      <c r="B43">
        <v>89.204296260251226</v>
      </c>
      <c r="C43" s="1">
        <f t="shared" si="0"/>
        <v>42887</v>
      </c>
    </row>
    <row r="44" spans="1:3" x14ac:dyDescent="0.2">
      <c r="A44" t="s">
        <v>47</v>
      </c>
      <c r="B44">
        <v>89.184298971869481</v>
      </c>
      <c r="C44" s="1">
        <f t="shared" si="0"/>
        <v>42917</v>
      </c>
    </row>
    <row r="45" spans="1:3" x14ac:dyDescent="0.2">
      <c r="A45" t="s">
        <v>48</v>
      </c>
      <c r="B45">
        <v>89.027332511469268</v>
      </c>
      <c r="C45" s="1">
        <f t="shared" si="0"/>
        <v>42948</v>
      </c>
    </row>
    <row r="46" spans="1:3" x14ac:dyDescent="0.2">
      <c r="A46" t="s">
        <v>49</v>
      </c>
      <c r="B46">
        <v>89.177122120525013</v>
      </c>
      <c r="C46" s="1">
        <f t="shared" si="0"/>
        <v>42979</v>
      </c>
    </row>
    <row r="47" spans="1:3" x14ac:dyDescent="0.2">
      <c r="A47" t="s">
        <v>50</v>
      </c>
      <c r="B47">
        <v>89.010676802947756</v>
      </c>
      <c r="C47" s="1">
        <f t="shared" si="0"/>
        <v>43009</v>
      </c>
    </row>
    <row r="48" spans="1:3" x14ac:dyDescent="0.2">
      <c r="A48" t="s">
        <v>51</v>
      </c>
      <c r="B48">
        <v>88.547845281756096</v>
      </c>
      <c r="C48" s="1">
        <f t="shared" si="0"/>
        <v>43040</v>
      </c>
    </row>
    <row r="49" spans="1:3" x14ac:dyDescent="0.2">
      <c r="A49" t="s">
        <v>52</v>
      </c>
      <c r="B49">
        <v>88.361615940233079</v>
      </c>
      <c r="C49" s="1">
        <f t="shared" si="0"/>
        <v>43070</v>
      </c>
    </row>
    <row r="50" spans="1:3" x14ac:dyDescent="0.2">
      <c r="A50" t="s">
        <v>53</v>
      </c>
      <c r="B50">
        <v>91.962052846675348</v>
      </c>
      <c r="C50" s="1">
        <f t="shared" si="0"/>
        <v>43101</v>
      </c>
    </row>
    <row r="51" spans="1:3" x14ac:dyDescent="0.2">
      <c r="A51" t="s">
        <v>54</v>
      </c>
      <c r="B51">
        <v>92.00048963453041</v>
      </c>
      <c r="C51" s="1">
        <f t="shared" si="0"/>
        <v>43132</v>
      </c>
    </row>
    <row r="52" spans="1:3" x14ac:dyDescent="0.2">
      <c r="A52" t="s">
        <v>55</v>
      </c>
      <c r="B52">
        <v>91.836926198487873</v>
      </c>
      <c r="C52" s="1">
        <f t="shared" si="0"/>
        <v>43160</v>
      </c>
    </row>
    <row r="53" spans="1:3" x14ac:dyDescent="0.2">
      <c r="A53" t="s">
        <v>56</v>
      </c>
      <c r="B53">
        <v>91.653294466256682</v>
      </c>
      <c r="C53" s="1">
        <f t="shared" si="0"/>
        <v>43191</v>
      </c>
    </row>
    <row r="54" spans="1:3" x14ac:dyDescent="0.2">
      <c r="A54" t="s">
        <v>57</v>
      </c>
      <c r="B54">
        <v>91.334573106927678</v>
      </c>
      <c r="C54" s="1">
        <f t="shared" si="0"/>
        <v>43221</v>
      </c>
    </row>
    <row r="55" spans="1:3" x14ac:dyDescent="0.2">
      <c r="A55" t="s">
        <v>58</v>
      </c>
      <c r="B55">
        <v>91.393200940346389</v>
      </c>
      <c r="C55" s="1">
        <f t="shared" si="0"/>
        <v>43252</v>
      </c>
    </row>
    <row r="56" spans="1:3" x14ac:dyDescent="0.2">
      <c r="A56" t="s">
        <v>59</v>
      </c>
      <c r="B56">
        <v>91.310582745814045</v>
      </c>
      <c r="C56" s="1">
        <f t="shared" si="0"/>
        <v>43282</v>
      </c>
    </row>
    <row r="57" spans="1:3" x14ac:dyDescent="0.2">
      <c r="A57" t="s">
        <v>60</v>
      </c>
      <c r="B57">
        <v>91.1743410057841</v>
      </c>
      <c r="C57" s="1">
        <f t="shared" si="0"/>
        <v>43313</v>
      </c>
    </row>
    <row r="58" spans="1:3" x14ac:dyDescent="0.2">
      <c r="A58" t="s">
        <v>61</v>
      </c>
      <c r="B58">
        <v>91.072252952899859</v>
      </c>
      <c r="C58" s="1">
        <f t="shared" si="0"/>
        <v>43344</v>
      </c>
    </row>
    <row r="59" spans="1:3" x14ac:dyDescent="0.2">
      <c r="A59" t="s">
        <v>62</v>
      </c>
      <c r="B59">
        <v>90.813501052217262</v>
      </c>
      <c r="C59" s="1">
        <f t="shared" si="0"/>
        <v>43374</v>
      </c>
    </row>
    <row r="60" spans="1:3" x14ac:dyDescent="0.2">
      <c r="A60" t="s">
        <v>63</v>
      </c>
      <c r="B60">
        <v>90.606289390682193</v>
      </c>
      <c r="C60" s="1">
        <f t="shared" si="0"/>
        <v>43405</v>
      </c>
    </row>
    <row r="61" spans="1:3" x14ac:dyDescent="0.2">
      <c r="A61" t="s">
        <v>64</v>
      </c>
      <c r="B61">
        <v>90.283967831414628</v>
      </c>
      <c r="C61" s="1">
        <f t="shared" si="0"/>
        <v>43435</v>
      </c>
    </row>
    <row r="62" spans="1:3" x14ac:dyDescent="0.2">
      <c r="A62" t="s">
        <v>65</v>
      </c>
      <c r="B62">
        <v>89.413378360998308</v>
      </c>
      <c r="C62" s="1">
        <f t="shared" si="0"/>
        <v>43466</v>
      </c>
    </row>
    <row r="63" spans="1:3" x14ac:dyDescent="0.2">
      <c r="A63" t="s">
        <v>66</v>
      </c>
      <c r="B63">
        <v>89.204247516182903</v>
      </c>
      <c r="C63" s="1">
        <f t="shared" si="0"/>
        <v>43497</v>
      </c>
    </row>
    <row r="64" spans="1:3" x14ac:dyDescent="0.2">
      <c r="A64" t="s">
        <v>67</v>
      </c>
      <c r="B64">
        <v>89.115337138840943</v>
      </c>
      <c r="C64" s="1">
        <f t="shared" si="0"/>
        <v>43525</v>
      </c>
    </row>
    <row r="65" spans="1:3" x14ac:dyDescent="0.2">
      <c r="A65" t="s">
        <v>68</v>
      </c>
      <c r="B65">
        <v>89.10486271215737</v>
      </c>
      <c r="C65" s="1">
        <f t="shared" si="0"/>
        <v>43556</v>
      </c>
    </row>
    <row r="66" spans="1:3" x14ac:dyDescent="0.2">
      <c r="A66" t="s">
        <v>69</v>
      </c>
      <c r="B66">
        <v>89.164263061890935</v>
      </c>
      <c r="C66" s="1">
        <f t="shared" si="0"/>
        <v>43586</v>
      </c>
    </row>
    <row r="67" spans="1:3" x14ac:dyDescent="0.2">
      <c r="A67" t="s">
        <v>70</v>
      </c>
      <c r="B67">
        <v>89.303908566309488</v>
      </c>
      <c r="C67" s="1">
        <f t="shared" ref="C67:C130" si="1">DATE(LEFT(A67,4),RIGHT(A67,2),1)</f>
        <v>43617</v>
      </c>
    </row>
    <row r="68" spans="1:3" x14ac:dyDescent="0.2">
      <c r="A68" t="s">
        <v>71</v>
      </c>
      <c r="B68">
        <v>89.462180038277594</v>
      </c>
      <c r="C68" s="1">
        <f t="shared" si="1"/>
        <v>43647</v>
      </c>
    </row>
    <row r="69" spans="1:3" x14ac:dyDescent="0.2">
      <c r="A69" t="s">
        <v>72</v>
      </c>
      <c r="B69">
        <v>89.553902261578543</v>
      </c>
      <c r="C69" s="1">
        <f t="shared" si="1"/>
        <v>43678</v>
      </c>
    </row>
    <row r="70" spans="1:3" x14ac:dyDescent="0.2">
      <c r="A70" t="s">
        <v>73</v>
      </c>
      <c r="B70">
        <v>89.751054704792367</v>
      </c>
      <c r="C70" s="1">
        <f t="shared" si="1"/>
        <v>43709</v>
      </c>
    </row>
    <row r="71" spans="1:3" x14ac:dyDescent="0.2">
      <c r="A71" t="s">
        <v>74</v>
      </c>
      <c r="B71">
        <v>89.665228531290353</v>
      </c>
      <c r="C71" s="1">
        <f t="shared" si="1"/>
        <v>43739</v>
      </c>
    </row>
    <row r="72" spans="1:3" x14ac:dyDescent="0.2">
      <c r="A72" t="s">
        <v>75</v>
      </c>
      <c r="B72">
        <v>89.492477235101177</v>
      </c>
      <c r="C72" s="1">
        <f t="shared" si="1"/>
        <v>43770</v>
      </c>
    </row>
    <row r="73" spans="1:3" x14ac:dyDescent="0.2">
      <c r="A73" t="s">
        <v>76</v>
      </c>
      <c r="B73">
        <v>89.899934846209305</v>
      </c>
      <c r="C73" s="1">
        <f t="shared" si="1"/>
        <v>43800</v>
      </c>
    </row>
    <row r="74" spans="1:3" x14ac:dyDescent="0.2">
      <c r="A74" t="s">
        <v>77</v>
      </c>
      <c r="B74">
        <v>89.796738045432576</v>
      </c>
      <c r="C74" s="1">
        <f t="shared" si="1"/>
        <v>43831</v>
      </c>
    </row>
    <row r="75" spans="1:3" x14ac:dyDescent="0.2">
      <c r="A75" t="s">
        <v>78</v>
      </c>
      <c r="B75">
        <v>89.975933928671893</v>
      </c>
      <c r="C75" s="1">
        <f t="shared" si="1"/>
        <v>43862</v>
      </c>
    </row>
    <row r="76" spans="1:3" x14ac:dyDescent="0.2">
      <c r="A76" t="s">
        <v>79</v>
      </c>
      <c r="B76">
        <v>90.097678519024285</v>
      </c>
      <c r="C76" s="1">
        <f t="shared" si="1"/>
        <v>43891</v>
      </c>
    </row>
    <row r="77" spans="1:3" x14ac:dyDescent="0.2">
      <c r="A77" t="s">
        <v>80</v>
      </c>
      <c r="B77">
        <v>89.922977168917015</v>
      </c>
      <c r="C77" s="1">
        <f t="shared" si="1"/>
        <v>43922</v>
      </c>
    </row>
    <row r="78" spans="1:3" x14ac:dyDescent="0.2">
      <c r="A78" t="s">
        <v>81</v>
      </c>
      <c r="B78">
        <v>89.64304665546392</v>
      </c>
      <c r="C78" s="1">
        <f t="shared" si="1"/>
        <v>43952</v>
      </c>
    </row>
    <row r="79" spans="1:3" x14ac:dyDescent="0.2">
      <c r="A79" t="s">
        <v>82</v>
      </c>
      <c r="B79">
        <v>89.292997456677313</v>
      </c>
      <c r="C79" s="1">
        <f t="shared" si="1"/>
        <v>43983</v>
      </c>
    </row>
    <row r="80" spans="1:3" x14ac:dyDescent="0.2">
      <c r="A80" t="s">
        <v>83</v>
      </c>
      <c r="B80">
        <v>94.891565715539429</v>
      </c>
      <c r="C80" s="1">
        <f t="shared" si="1"/>
        <v>44013</v>
      </c>
    </row>
    <row r="81" spans="1:3" x14ac:dyDescent="0.2">
      <c r="A81" t="s">
        <v>84</v>
      </c>
      <c r="B81">
        <v>95.007683005399045</v>
      </c>
      <c r="C81" s="1">
        <f t="shared" si="1"/>
        <v>44044</v>
      </c>
    </row>
    <row r="82" spans="1:3" x14ac:dyDescent="0.2">
      <c r="A82" t="s">
        <v>85</v>
      </c>
      <c r="B82">
        <v>94.688526505421862</v>
      </c>
      <c r="C82" s="1">
        <f t="shared" si="1"/>
        <v>44075</v>
      </c>
    </row>
    <row r="83" spans="1:3" x14ac:dyDescent="0.2">
      <c r="A83" t="s">
        <v>86</v>
      </c>
      <c r="B83">
        <v>94.875234597165004</v>
      </c>
      <c r="C83" s="1">
        <f t="shared" si="1"/>
        <v>44105</v>
      </c>
    </row>
    <row r="84" spans="1:3" x14ac:dyDescent="0.2">
      <c r="A84" t="s">
        <v>87</v>
      </c>
      <c r="B84">
        <v>94.634374967927315</v>
      </c>
      <c r="C84" s="1">
        <f t="shared" si="1"/>
        <v>44136</v>
      </c>
    </row>
    <row r="85" spans="1:3" x14ac:dyDescent="0.2">
      <c r="A85" t="s">
        <v>88</v>
      </c>
      <c r="B85">
        <v>94.502225671958001</v>
      </c>
      <c r="C85" s="1">
        <f t="shared" si="1"/>
        <v>44166</v>
      </c>
    </row>
    <row r="86" spans="1:3" x14ac:dyDescent="0.2">
      <c r="A86" t="s">
        <v>89</v>
      </c>
      <c r="B86">
        <v>94.614855037696444</v>
      </c>
      <c r="C86" s="1">
        <f t="shared" si="1"/>
        <v>44197</v>
      </c>
    </row>
    <row r="87" spans="1:3" x14ac:dyDescent="0.2">
      <c r="A87" t="s">
        <v>90</v>
      </c>
      <c r="B87">
        <v>94.512263477400609</v>
      </c>
      <c r="C87" s="1">
        <f t="shared" si="1"/>
        <v>44228</v>
      </c>
    </row>
    <row r="88" spans="1:3" x14ac:dyDescent="0.2">
      <c r="A88" t="s">
        <v>91</v>
      </c>
      <c r="B88">
        <v>94.50450347246138</v>
      </c>
      <c r="C88" s="1">
        <f t="shared" si="1"/>
        <v>44256</v>
      </c>
    </row>
    <row r="89" spans="1:3" x14ac:dyDescent="0.2">
      <c r="A89" t="s">
        <v>92</v>
      </c>
      <c r="B89">
        <v>94.667963187881014</v>
      </c>
      <c r="C89" s="1">
        <f t="shared" si="1"/>
        <v>44287</v>
      </c>
    </row>
    <row r="90" spans="1:3" x14ac:dyDescent="0.2">
      <c r="A90" t="s">
        <v>93</v>
      </c>
      <c r="B90">
        <v>94.829951614424402</v>
      </c>
      <c r="C90" s="1">
        <f t="shared" si="1"/>
        <v>44317</v>
      </c>
    </row>
    <row r="91" spans="1:3" x14ac:dyDescent="0.2">
      <c r="A91" t="s">
        <v>94</v>
      </c>
      <c r="B91">
        <v>94.981106167087574</v>
      </c>
      <c r="C91" s="1">
        <f t="shared" si="1"/>
        <v>44348</v>
      </c>
    </row>
    <row r="92" spans="1:3" x14ac:dyDescent="0.2">
      <c r="A92" t="s">
        <v>95</v>
      </c>
      <c r="B92">
        <v>95.222856802259003</v>
      </c>
      <c r="C92" s="1">
        <f t="shared" si="1"/>
        <v>44378</v>
      </c>
    </row>
    <row r="93" spans="1:3" x14ac:dyDescent="0.2">
      <c r="A93" t="s">
        <v>96</v>
      </c>
      <c r="B93">
        <v>95.323933327894053</v>
      </c>
      <c r="C93" s="1">
        <f t="shared" si="1"/>
        <v>44409</v>
      </c>
    </row>
    <row r="94" spans="1:3" x14ac:dyDescent="0.2">
      <c r="A94" t="s">
        <v>97</v>
      </c>
      <c r="B94">
        <v>95.472339183590819</v>
      </c>
      <c r="C94" s="1">
        <f t="shared" si="1"/>
        <v>44440</v>
      </c>
    </row>
    <row r="95" spans="1:3" x14ac:dyDescent="0.2">
      <c r="A95" t="s">
        <v>98</v>
      </c>
      <c r="B95">
        <v>95.869403454619203</v>
      </c>
      <c r="C95" s="1">
        <f t="shared" si="1"/>
        <v>44470</v>
      </c>
    </row>
    <row r="96" spans="1:3" x14ac:dyDescent="0.2">
      <c r="A96" t="s">
        <v>99</v>
      </c>
      <c r="B96">
        <v>95.986541916958814</v>
      </c>
      <c r="C96" s="1">
        <f t="shared" si="1"/>
        <v>44501</v>
      </c>
    </row>
    <row r="97" spans="1:3" x14ac:dyDescent="0.2">
      <c r="A97" t="s">
        <v>100</v>
      </c>
      <c r="B97">
        <v>96.002186067032198</v>
      </c>
      <c r="C97" s="1">
        <f t="shared" si="1"/>
        <v>44531</v>
      </c>
    </row>
    <row r="98" spans="1:3" x14ac:dyDescent="0.2">
      <c r="A98" t="s">
        <v>101</v>
      </c>
      <c r="B98">
        <v>96.076413761477824</v>
      </c>
      <c r="C98" s="1">
        <f t="shared" si="1"/>
        <v>44562</v>
      </c>
    </row>
    <row r="99" spans="1:3" x14ac:dyDescent="0.2">
      <c r="A99" t="s">
        <v>102</v>
      </c>
      <c r="B99">
        <v>96.312195369901133</v>
      </c>
      <c r="C99" s="1">
        <f t="shared" si="1"/>
        <v>44593</v>
      </c>
    </row>
    <row r="100" spans="1:3" x14ac:dyDescent="0.2">
      <c r="A100" t="s">
        <v>103</v>
      </c>
      <c r="B100">
        <v>96.466774040704976</v>
      </c>
      <c r="C100" s="1">
        <f t="shared" si="1"/>
        <v>44621</v>
      </c>
    </row>
    <row r="101" spans="1:3" x14ac:dyDescent="0.2">
      <c r="A101" t="s">
        <v>104</v>
      </c>
      <c r="B101">
        <v>96.816084664794971</v>
      </c>
      <c r="C101" s="1">
        <f t="shared" si="1"/>
        <v>44652</v>
      </c>
    </row>
    <row r="102" spans="1:3" x14ac:dyDescent="0.2">
      <c r="A102" t="s">
        <v>105</v>
      </c>
      <c r="B102">
        <v>97.016348747959555</v>
      </c>
      <c r="C102" s="1">
        <f t="shared" si="1"/>
        <v>44682</v>
      </c>
    </row>
    <row r="103" spans="1:3" x14ac:dyDescent="0.2">
      <c r="A103" t="s">
        <v>106</v>
      </c>
      <c r="B103">
        <v>97.244219524787709</v>
      </c>
      <c r="C103" s="1">
        <f t="shared" si="1"/>
        <v>44713</v>
      </c>
    </row>
    <row r="104" spans="1:3" x14ac:dyDescent="0.2">
      <c r="A104" t="s">
        <v>107</v>
      </c>
      <c r="B104">
        <v>97.737373407324625</v>
      </c>
      <c r="C104" s="1">
        <f t="shared" si="1"/>
        <v>44743</v>
      </c>
    </row>
    <row r="105" spans="1:3" x14ac:dyDescent="0.2">
      <c r="A105" t="s">
        <v>108</v>
      </c>
      <c r="B105">
        <v>98.144782224064414</v>
      </c>
      <c r="C105" s="1">
        <f t="shared" si="1"/>
        <v>44774</v>
      </c>
    </row>
    <row r="106" spans="1:3" x14ac:dyDescent="0.2">
      <c r="A106" t="s">
        <v>109</v>
      </c>
      <c r="B106">
        <v>98.340203301363033</v>
      </c>
      <c r="C106" s="1">
        <f t="shared" si="1"/>
        <v>44805</v>
      </c>
    </row>
    <row r="107" spans="1:3" x14ac:dyDescent="0.2">
      <c r="A107" t="s">
        <v>110</v>
      </c>
      <c r="B107">
        <v>98.801487365729216</v>
      </c>
      <c r="C107" s="1">
        <f t="shared" si="1"/>
        <v>44835</v>
      </c>
    </row>
    <row r="108" spans="1:3" x14ac:dyDescent="0.2">
      <c r="A108" t="s">
        <v>111</v>
      </c>
      <c r="B108">
        <v>98.94708702033266</v>
      </c>
      <c r="C108" s="1">
        <f t="shared" si="1"/>
        <v>44866</v>
      </c>
    </row>
    <row r="109" spans="1:3" x14ac:dyDescent="0.2">
      <c r="A109" t="s">
        <v>112</v>
      </c>
      <c r="B109">
        <v>99.138970990612208</v>
      </c>
      <c r="C109" s="1">
        <f t="shared" si="1"/>
        <v>44896</v>
      </c>
    </row>
    <row r="110" spans="1:3" x14ac:dyDescent="0.2">
      <c r="A110" t="s">
        <v>113</v>
      </c>
      <c r="B110">
        <v>99.287347403142363</v>
      </c>
      <c r="C110" s="1">
        <f t="shared" si="1"/>
        <v>44927</v>
      </c>
    </row>
    <row r="111" spans="1:3" x14ac:dyDescent="0.2">
      <c r="A111" t="s">
        <v>114</v>
      </c>
      <c r="B111">
        <v>99.439084795753928</v>
      </c>
      <c r="C111" s="1">
        <f t="shared" si="1"/>
        <v>44958</v>
      </c>
    </row>
    <row r="112" spans="1:3" x14ac:dyDescent="0.2">
      <c r="A112" t="s">
        <v>115</v>
      </c>
      <c r="B112">
        <v>99.579259751755586</v>
      </c>
      <c r="C112" s="1">
        <f t="shared" si="1"/>
        <v>44986</v>
      </c>
    </row>
    <row r="113" spans="1:3" x14ac:dyDescent="0.2">
      <c r="A113" t="s">
        <v>116</v>
      </c>
      <c r="B113">
        <v>99.85418930190896</v>
      </c>
      <c r="C113" s="1">
        <f t="shared" si="1"/>
        <v>45017</v>
      </c>
    </row>
    <row r="114" spans="1:3" x14ac:dyDescent="0.2">
      <c r="A114" t="s">
        <v>117</v>
      </c>
      <c r="B114">
        <v>99.701402496550685</v>
      </c>
      <c r="C114" s="1">
        <f t="shared" si="1"/>
        <v>45047</v>
      </c>
    </row>
    <row r="115" spans="1:3" x14ac:dyDescent="0.2">
      <c r="A115" t="s">
        <v>118</v>
      </c>
      <c r="B115">
        <v>99.796292827925157</v>
      </c>
      <c r="C115" s="1">
        <f t="shared" si="1"/>
        <v>45078</v>
      </c>
    </row>
    <row r="116" spans="1:3" x14ac:dyDescent="0.2">
      <c r="A116" t="s">
        <v>119</v>
      </c>
      <c r="B116">
        <v>100.1493991511865</v>
      </c>
      <c r="C116" s="1">
        <f t="shared" si="1"/>
        <v>45108</v>
      </c>
    </row>
    <row r="117" spans="1:3" x14ac:dyDescent="0.2">
      <c r="A117" t="s">
        <v>120</v>
      </c>
      <c r="B117">
        <v>100.16365934787467</v>
      </c>
      <c r="C117" s="1">
        <f t="shared" si="1"/>
        <v>45139</v>
      </c>
    </row>
    <row r="118" spans="1:3" x14ac:dyDescent="0.2">
      <c r="A118" t="s">
        <v>121</v>
      </c>
      <c r="B118">
        <v>100.1519055746833</v>
      </c>
      <c r="C118" s="1">
        <f t="shared" si="1"/>
        <v>45170</v>
      </c>
    </row>
    <row r="119" spans="1:3" x14ac:dyDescent="0.2">
      <c r="A119" t="s">
        <v>122</v>
      </c>
      <c r="B119">
        <v>100.40649914216669</v>
      </c>
      <c r="C119" s="1">
        <f t="shared" si="1"/>
        <v>45200</v>
      </c>
    </row>
    <row r="120" spans="1:3" x14ac:dyDescent="0.2">
      <c r="A120" t="s">
        <v>123</v>
      </c>
      <c r="B120">
        <v>100.73809224810701</v>
      </c>
      <c r="C120" s="1">
        <f t="shared" si="1"/>
        <v>45231</v>
      </c>
    </row>
    <row r="121" spans="1:3" x14ac:dyDescent="0.2">
      <c r="A121" t="s">
        <v>124</v>
      </c>
      <c r="B121">
        <v>100.74530571218438</v>
      </c>
      <c r="C121" s="1">
        <f t="shared" si="1"/>
        <v>45261</v>
      </c>
    </row>
    <row r="122" spans="1:3" x14ac:dyDescent="0.2">
      <c r="A122" t="s">
        <v>125</v>
      </c>
      <c r="B122">
        <v>100.95333122705638</v>
      </c>
      <c r="C122" s="1">
        <f t="shared" si="1"/>
        <v>45292</v>
      </c>
    </row>
    <row r="123" spans="1:3" x14ac:dyDescent="0.2">
      <c r="A123" t="s">
        <v>126</v>
      </c>
      <c r="B123">
        <v>101.00780280925599</v>
      </c>
      <c r="C123" s="1">
        <f t="shared" si="1"/>
        <v>45323</v>
      </c>
    </row>
    <row r="124" spans="1:3" x14ac:dyDescent="0.2">
      <c r="A124" t="s">
        <v>127</v>
      </c>
      <c r="B124">
        <v>100.81805471982584</v>
      </c>
      <c r="C124" s="1">
        <f t="shared" si="1"/>
        <v>45352</v>
      </c>
    </row>
    <row r="125" spans="1:3" x14ac:dyDescent="0.2">
      <c r="A125" t="s">
        <v>128</v>
      </c>
      <c r="B125">
        <v>101.27026586312351</v>
      </c>
      <c r="C125" s="1">
        <f t="shared" si="1"/>
        <v>45383</v>
      </c>
    </row>
    <row r="126" spans="1:3" x14ac:dyDescent="0.2">
      <c r="A126" t="s">
        <v>129</v>
      </c>
      <c r="B126">
        <v>101.33887633300161</v>
      </c>
      <c r="C126" s="1">
        <f t="shared" si="1"/>
        <v>45413</v>
      </c>
    </row>
    <row r="127" spans="1:3" x14ac:dyDescent="0.2">
      <c r="A127" t="s">
        <v>130</v>
      </c>
      <c r="B127">
        <v>101.61948254911229</v>
      </c>
      <c r="C127" s="1">
        <f t="shared" si="1"/>
        <v>45444</v>
      </c>
    </row>
    <row r="128" spans="1:3" x14ac:dyDescent="0.2">
      <c r="A128" t="s">
        <v>131</v>
      </c>
      <c r="B128">
        <v>101.49897004561718</v>
      </c>
      <c r="C128" s="1">
        <f t="shared" si="1"/>
        <v>45474</v>
      </c>
    </row>
    <row r="129" spans="1:3" x14ac:dyDescent="0.2">
      <c r="A129" t="s">
        <v>132</v>
      </c>
      <c r="B129">
        <v>101.55059868731476</v>
      </c>
      <c r="C129" s="1">
        <f t="shared" si="1"/>
        <v>45505</v>
      </c>
    </row>
    <row r="130" spans="1:3" x14ac:dyDescent="0.2">
      <c r="A130" t="s">
        <v>133</v>
      </c>
      <c r="B130">
        <v>101.61678170571091</v>
      </c>
      <c r="C130" s="1">
        <f t="shared" si="1"/>
        <v>45536</v>
      </c>
    </row>
    <row r="131" spans="1:3" x14ac:dyDescent="0.2">
      <c r="A131" t="s">
        <v>134</v>
      </c>
      <c r="B131">
        <v>101.89811822838681</v>
      </c>
      <c r="C131" s="1">
        <f t="shared" ref="C131:C148" si="2">DATE(LEFT(A131,4),RIGHT(A131,2),1)</f>
        <v>45566</v>
      </c>
    </row>
    <row r="132" spans="1:3" x14ac:dyDescent="0.2">
      <c r="A132" t="s">
        <v>135</v>
      </c>
      <c r="B132">
        <v>102.25280138818044</v>
      </c>
      <c r="C132" s="1">
        <f t="shared" si="2"/>
        <v>45597</v>
      </c>
    </row>
    <row r="133" spans="1:3" x14ac:dyDescent="0.2">
      <c r="A133" t="s">
        <v>136</v>
      </c>
      <c r="B133">
        <v>102.19930788094609</v>
      </c>
      <c r="C133" s="1">
        <f t="shared" si="2"/>
        <v>45627</v>
      </c>
    </row>
    <row r="134" spans="1:3" x14ac:dyDescent="0.2">
      <c r="A134" t="s">
        <v>137</v>
      </c>
      <c r="B134">
        <v>102.60493324198768</v>
      </c>
      <c r="C134" s="1">
        <f t="shared" si="2"/>
        <v>45658</v>
      </c>
    </row>
    <row r="135" spans="1:3" x14ac:dyDescent="0.2">
      <c r="A135" t="s">
        <v>138</v>
      </c>
      <c r="B135">
        <v>102.71732594005799</v>
      </c>
      <c r="C135" s="1">
        <f t="shared" si="2"/>
        <v>45689</v>
      </c>
    </row>
    <row r="136" spans="1:3" x14ac:dyDescent="0.2">
      <c r="A136" t="s">
        <v>139</v>
      </c>
      <c r="B136">
        <v>102.9580468610375</v>
      </c>
      <c r="C136" s="1">
        <f t="shared" si="2"/>
        <v>45717</v>
      </c>
    </row>
    <row r="137" spans="1:3" x14ac:dyDescent="0.2">
      <c r="A137" t="s">
        <v>140</v>
      </c>
      <c r="B137">
        <v>103.34829705670529</v>
      </c>
      <c r="C137" s="1">
        <f t="shared" si="2"/>
        <v>45748</v>
      </c>
    </row>
    <row r="138" spans="1:3" x14ac:dyDescent="0.2">
      <c r="A138" t="s">
        <v>141</v>
      </c>
      <c r="B138">
        <v>103.4611339244706</v>
      </c>
      <c r="C138" s="1">
        <f t="shared" si="2"/>
        <v>45778</v>
      </c>
    </row>
    <row r="139" spans="1:3" x14ac:dyDescent="0.2">
      <c r="A139" t="s">
        <v>142</v>
      </c>
      <c r="B139">
        <v>103.6288578634317</v>
      </c>
      <c r="C139" s="1">
        <f t="shared" si="2"/>
        <v>45809</v>
      </c>
    </row>
    <row r="140" spans="1:3" x14ac:dyDescent="0.2">
      <c r="A140" t="s">
        <v>143</v>
      </c>
      <c r="B140">
        <v>103.75108087608791</v>
      </c>
      <c r="C140" s="1">
        <f t="shared" si="2"/>
        <v>45839</v>
      </c>
    </row>
    <row r="141" spans="1:3" x14ac:dyDescent="0.2">
      <c r="A141" t="s">
        <v>144</v>
      </c>
      <c r="B141">
        <v>103.89493796703111</v>
      </c>
      <c r="C141" s="1">
        <f t="shared" si="2"/>
        <v>45870</v>
      </c>
    </row>
    <row r="142" spans="1:3" x14ac:dyDescent="0.2">
      <c r="A142" t="s">
        <v>145</v>
      </c>
      <c r="B142">
        <v>103.83056832913979</v>
      </c>
      <c r="C142" s="1">
        <f t="shared" si="2"/>
        <v>45901</v>
      </c>
    </row>
    <row r="143" spans="1:3" x14ac:dyDescent="0.2">
      <c r="A143" t="s">
        <v>146</v>
      </c>
      <c r="B143">
        <v>104.1227141910604</v>
      </c>
      <c r="C143" s="1">
        <f t="shared" si="2"/>
        <v>45931</v>
      </c>
    </row>
    <row r="144" spans="1:3" x14ac:dyDescent="0.2">
      <c r="A144" t="s">
        <v>147</v>
      </c>
      <c r="B144">
        <v>104.19671973460208</v>
      </c>
      <c r="C144" s="1">
        <f t="shared" si="2"/>
        <v>45962</v>
      </c>
    </row>
    <row r="145" spans="1:3" x14ac:dyDescent="0.2">
      <c r="A145" t="s">
        <v>148</v>
      </c>
      <c r="B145">
        <v>104.30413516908848</v>
      </c>
      <c r="C145" s="1">
        <f t="shared" si="2"/>
        <v>45992</v>
      </c>
    </row>
    <row r="146" spans="1:3" x14ac:dyDescent="0.2">
      <c r="A146" t="s">
        <v>149</v>
      </c>
      <c r="B146">
        <v>104.46686567464688</v>
      </c>
      <c r="C146" s="1">
        <f t="shared" si="2"/>
        <v>46023</v>
      </c>
    </row>
    <row r="147" spans="1:3" x14ac:dyDescent="0.2">
      <c r="A147" t="s">
        <v>150</v>
      </c>
      <c r="B147">
        <v>104.5039236934589</v>
      </c>
      <c r="C147" s="1">
        <f t="shared" si="2"/>
        <v>46054</v>
      </c>
    </row>
    <row r="148" spans="1:3" x14ac:dyDescent="0.2">
      <c r="A148" t="s">
        <v>151</v>
      </c>
      <c r="B148">
        <v>104.80833862276079</v>
      </c>
      <c r="C148" s="1">
        <f t="shared" si="2"/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Tedesco</dc:creator>
  <cp:lastModifiedBy>Dario Tedesco</cp:lastModifiedBy>
  <dcterms:created xsi:type="dcterms:W3CDTF">2026-05-08T14:47:30Z</dcterms:created>
  <dcterms:modified xsi:type="dcterms:W3CDTF">2026-05-08T15:45:55Z</dcterms:modified>
</cp:coreProperties>
</file>